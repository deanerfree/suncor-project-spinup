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SUNCOR OB300 FIREBAG 9-13-95-6\Well Data\"/>
    </mc:Choice>
  </mc:AlternateContent>
  <xr:revisionPtr revIDLastSave="0" documentId="13_ncr:1_{F5C23D5B-5597-4E74-ABC3-15403AC4609D}" xr6:coauthVersionLast="47" xr6:coauthVersionMax="47" xr10:uidLastSave="{00000000-0000-0000-0000-000000000000}"/>
  <bookViews>
    <workbookView xWindow="9360" yWindow="760" windowWidth="16240" windowHeight="13890" xr2:uid="{00000000-000D-0000-FFFF-FFFF00000000}"/>
  </bookViews>
  <sheets>
    <sheet name="Mud Resistiv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2" i="1"/>
  <c r="C7" i="1" l="1"/>
  <c r="C8" i="1"/>
  <c r="C9" i="1"/>
  <c r="C10" i="1"/>
  <c r="C11" i="1"/>
  <c r="C13" i="1"/>
  <c r="C15" i="1"/>
  <c r="C6" i="1"/>
</calcChain>
</file>

<file path=xl/sharedStrings.xml><?xml version="1.0" encoding="utf-8"?>
<sst xmlns="http://schemas.openxmlformats.org/spreadsheetml/2006/main" count="21" uniqueCount="15">
  <si>
    <t>Mud Resistivity Test</t>
  </si>
  <si>
    <t>Secure Energy Conductivity Conversion</t>
  </si>
  <si>
    <t>Test No.</t>
  </si>
  <si>
    <t>DEPTH  m</t>
  </si>
  <si>
    <t>OHMS  Ω</t>
  </si>
  <si>
    <t>TEMP  C°</t>
  </si>
  <si>
    <t>Remarks</t>
  </si>
  <si>
    <t>mS/Cm</t>
  </si>
  <si>
    <t>SUNCOR OB300 FIREBAG 9-13-95-6</t>
  </si>
  <si>
    <t>1AB/09-13-095-06W4/0</t>
  </si>
  <si>
    <t>TD</t>
  </si>
  <si>
    <t>Added 1/4 bag of salt.</t>
  </si>
  <si>
    <t>Within parameters.</t>
  </si>
  <si>
    <t>Added 1/3 bag of salt, within parameters.</t>
  </si>
  <si>
    <t>Water added to the system during sweep. Within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</si>
</sst>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5" xfId="0" applyFill="1" applyBorder="1"/>
    <xf numFmtId="0" fontId="0" fillId="2" borderId="6" xfId="0" applyFill="1" applyBorder="1"/>
    <xf numFmtId="0" fontId="0" fillId="0" borderId="2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164" fontId="0" fillId="0" borderId="14" xfId="0" applyNumberFormat="1" applyBorder="1" applyAlignment="1" applyProtection="1">
      <alignment horizontal="center"/>
      <protection locked="0"/>
    </xf>
    <xf numFmtId="164" fontId="2" fillId="0" borderId="4" xfId="0" applyNumberFormat="1" applyFont="1" applyBorder="1" applyAlignment="1">
      <alignment horizontal="center"/>
    </xf>
    <xf numFmtId="164" fontId="2" fillId="0" borderId="2" xfId="0" applyNumberFormat="1" applyFont="1" applyBorder="1" applyAlignment="1" applyProtection="1">
      <alignment horizontal="center"/>
      <protection locked="0"/>
    </xf>
    <xf numFmtId="0" fontId="0" fillId="2" borderId="16" xfId="0" applyFill="1" applyBorder="1"/>
    <xf numFmtId="0" fontId="2" fillId="0" borderId="17" xfId="0" applyFont="1" applyBorder="1" applyAlignment="1" applyProtection="1">
      <alignment wrapText="1"/>
      <protection locked="0"/>
    </xf>
    <xf numFmtId="0" fontId="0" fillId="0" borderId="18" xfId="0" applyBorder="1" applyProtection="1">
      <protection locked="0"/>
    </xf>
    <xf numFmtId="0" fontId="2" fillId="0" borderId="19" xfId="0" applyFont="1" applyBorder="1" applyAlignment="1" applyProtection="1">
      <alignment horizontal="center"/>
      <protection locked="0"/>
    </xf>
    <xf numFmtId="164" fontId="0" fillId="0" borderId="13" xfId="0" applyNumberFormat="1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center"/>
      <protection locked="0"/>
    </xf>
    <xf numFmtId="2" fontId="2" fillId="0" borderId="2" xfId="0" applyNumberFormat="1" applyFont="1" applyBorder="1" applyAlignment="1">
      <alignment horizontal="center"/>
    </xf>
    <xf numFmtId="0" fontId="4" fillId="3" borderId="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15" xfId="0" applyFont="1" applyFill="1" applyBorder="1" applyAlignment="1" applyProtection="1">
      <alignment horizontal="center"/>
      <protection locked="0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B1" zoomScale="115" zoomScaleNormal="115" workbookViewId="0">
      <selection activeCell="A4" sqref="A4:E4"/>
    </sheetView>
  </sheetViews>
  <sheetFormatPr defaultRowHeight="14.5" x14ac:dyDescent="0.35"/>
  <cols>
    <col min="1" max="1" width="9.1796875" customWidth="1"/>
    <col min="2" max="2" width="9.54296875" bestFit="1" customWidth="1"/>
    <col min="5" max="5" width="69.1796875" customWidth="1"/>
    <col min="6" max="6" width="12.7265625" customWidth="1"/>
  </cols>
  <sheetData>
    <row r="1" spans="1:6" ht="21.75" customHeight="1" thickBot="1" x14ac:dyDescent="0.4"/>
    <row r="2" spans="1:6" ht="21.5" thickBot="1" x14ac:dyDescent="0.55000000000000004">
      <c r="A2" s="23" t="s">
        <v>0</v>
      </c>
      <c r="B2" s="24"/>
      <c r="C2" s="24"/>
      <c r="D2" s="24"/>
      <c r="E2" s="25"/>
      <c r="F2" s="26" t="s">
        <v>1</v>
      </c>
    </row>
    <row r="3" spans="1:6" ht="16" thickBot="1" x14ac:dyDescent="0.4">
      <c r="A3" s="20" t="s">
        <v>8</v>
      </c>
      <c r="B3" s="21"/>
      <c r="C3" s="21"/>
      <c r="D3" s="21"/>
      <c r="E3" s="22"/>
      <c r="F3" s="27"/>
    </row>
    <row r="4" spans="1:6" ht="16" thickBot="1" x14ac:dyDescent="0.4">
      <c r="A4" s="20" t="s">
        <v>9</v>
      </c>
      <c r="B4" s="21"/>
      <c r="C4" s="21"/>
      <c r="D4" s="21"/>
      <c r="E4" s="22"/>
      <c r="F4" s="28"/>
    </row>
    <row r="5" spans="1:6" ht="15" thickBot="1" x14ac:dyDescent="0.4">
      <c r="A5" s="1" t="s">
        <v>2</v>
      </c>
      <c r="B5" s="2" t="s">
        <v>3</v>
      </c>
      <c r="C5" s="2" t="s">
        <v>4</v>
      </c>
      <c r="D5" s="2" t="s">
        <v>5</v>
      </c>
      <c r="E5" s="13" t="s">
        <v>6</v>
      </c>
      <c r="F5" s="9" t="s">
        <v>7</v>
      </c>
    </row>
    <row r="6" spans="1:6" x14ac:dyDescent="0.35">
      <c r="A6" s="7">
        <v>1</v>
      </c>
      <c r="B6" s="8">
        <v>100</v>
      </c>
      <c r="C6" s="11">
        <f>IF(F6="","",(10/F6))</f>
        <v>1.8939393939393938</v>
      </c>
      <c r="D6" s="8">
        <v>19.899999999999999</v>
      </c>
      <c r="E6" s="14" t="s">
        <v>12</v>
      </c>
      <c r="F6" s="10">
        <v>5.28</v>
      </c>
    </row>
    <row r="7" spans="1:6" x14ac:dyDescent="0.35">
      <c r="A7" s="5">
        <v>2</v>
      </c>
      <c r="B7" s="6">
        <v>150</v>
      </c>
      <c r="C7" s="11">
        <f t="shared" ref="C7:C15" si="0">IF(F7="","",(10/F7))</f>
        <v>3.0303030303030303</v>
      </c>
      <c r="D7" s="6">
        <v>18.2</v>
      </c>
      <c r="E7" s="14" t="s">
        <v>11</v>
      </c>
      <c r="F7" s="4">
        <v>3.3</v>
      </c>
    </row>
    <row r="8" spans="1:6" x14ac:dyDescent="0.35">
      <c r="A8" s="7">
        <v>3</v>
      </c>
      <c r="B8" s="6">
        <v>154</v>
      </c>
      <c r="C8" s="11">
        <f t="shared" si="0"/>
        <v>2.5</v>
      </c>
      <c r="D8" s="12">
        <v>18</v>
      </c>
      <c r="E8" s="14" t="s">
        <v>12</v>
      </c>
      <c r="F8" s="4">
        <v>4</v>
      </c>
    </row>
    <row r="9" spans="1:6" x14ac:dyDescent="0.35">
      <c r="A9" s="5">
        <v>4</v>
      </c>
      <c r="B9" s="16">
        <v>180</v>
      </c>
      <c r="C9" s="11">
        <f t="shared" si="0"/>
        <v>2.2573363431151243</v>
      </c>
      <c r="D9" s="6">
        <v>23.2</v>
      </c>
      <c r="E9" s="14" t="s">
        <v>13</v>
      </c>
      <c r="F9" s="17">
        <v>4.43</v>
      </c>
    </row>
    <row r="10" spans="1:6" x14ac:dyDescent="0.35">
      <c r="A10" s="7">
        <v>5</v>
      </c>
      <c r="B10" s="6">
        <v>205</v>
      </c>
      <c r="C10" s="11">
        <f t="shared" si="0"/>
        <v>2.109704641350211</v>
      </c>
      <c r="D10" s="6">
        <v>20.3</v>
      </c>
      <c r="E10" s="14" t="s">
        <v>12</v>
      </c>
      <c r="F10" s="17">
        <v>4.74</v>
      </c>
    </row>
    <row r="11" spans="1:6" x14ac:dyDescent="0.35">
      <c r="A11" s="5">
        <v>6</v>
      </c>
      <c r="B11" s="6">
        <v>222</v>
      </c>
      <c r="C11" s="11">
        <f t="shared" si="0"/>
        <v>1.8867924528301887</v>
      </c>
      <c r="D11" s="18">
        <v>20</v>
      </c>
      <c r="E11" s="15" t="s">
        <v>12</v>
      </c>
      <c r="F11" s="17">
        <v>5.3</v>
      </c>
    </row>
    <row r="12" spans="1:6" x14ac:dyDescent="0.35">
      <c r="A12" s="7">
        <v>7</v>
      </c>
      <c r="B12" s="6">
        <v>238</v>
      </c>
      <c r="C12" s="11">
        <f t="shared" si="0"/>
        <v>2.5773195876288661</v>
      </c>
      <c r="D12" s="18">
        <v>19.600000000000001</v>
      </c>
      <c r="E12" s="15" t="s">
        <v>14</v>
      </c>
      <c r="F12" s="17">
        <v>3.88</v>
      </c>
    </row>
    <row r="13" spans="1:6" x14ac:dyDescent="0.35">
      <c r="A13" s="5">
        <v>8</v>
      </c>
      <c r="B13" s="6">
        <v>272</v>
      </c>
      <c r="C13" s="11">
        <f t="shared" si="0"/>
        <v>1.8281535648994516</v>
      </c>
      <c r="D13" s="3">
        <v>20.399999999999999</v>
      </c>
      <c r="E13" s="15" t="s">
        <v>12</v>
      </c>
      <c r="F13" s="17">
        <v>5.47</v>
      </c>
    </row>
    <row r="14" spans="1:6" x14ac:dyDescent="0.35">
      <c r="A14" s="7">
        <v>9</v>
      </c>
      <c r="B14" s="3">
        <v>322</v>
      </c>
      <c r="C14" s="11">
        <f t="shared" si="0"/>
        <v>2.0040080160320639</v>
      </c>
      <c r="D14" s="3">
        <v>18.600000000000001</v>
      </c>
      <c r="E14" s="15" t="s">
        <v>12</v>
      </c>
      <c r="F14" s="17">
        <v>4.99</v>
      </c>
    </row>
    <row r="15" spans="1:6" x14ac:dyDescent="0.35">
      <c r="A15" s="5">
        <v>10</v>
      </c>
      <c r="B15" s="3" t="s">
        <v>10</v>
      </c>
      <c r="C15" s="19">
        <f t="shared" si="0"/>
        <v>1.9083969465648853</v>
      </c>
      <c r="D15" s="3">
        <v>18.600000000000001</v>
      </c>
      <c r="E15" s="15" t="s">
        <v>12</v>
      </c>
      <c r="F15" s="17">
        <v>5.24</v>
      </c>
    </row>
  </sheetData>
  <mergeCells count="4">
    <mergeCell ref="A3:E3"/>
    <mergeCell ref="A4:E4"/>
    <mergeCell ref="A2:E2"/>
    <mergeCell ref="F2:F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16e579-8e52-462c-b9fb-90fad13862ef">
      <Terms xmlns="http://schemas.microsoft.com/office/infopath/2007/PartnerControls"/>
    </lcf76f155ced4ddcb4097134ff3c332f>
    <TaxCatchAll xmlns="90a9caed-1441-4e6e-970c-7f1ae86601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6CBEE0A456044BDA65122A5B0F5F8" ma:contentTypeVersion="19" ma:contentTypeDescription="Create a new document." ma:contentTypeScope="" ma:versionID="5d7b9cbce9364425416f89c8d3c2b0fb">
  <xsd:schema xmlns:xsd="http://www.w3.org/2001/XMLSchema" xmlns:xs="http://www.w3.org/2001/XMLSchema" xmlns:p="http://schemas.microsoft.com/office/2006/metadata/properties" xmlns:ns2="0a16e579-8e52-462c-b9fb-90fad13862ef" xmlns:ns3="f2e3cb03-81f0-44cd-9968-695b701ef7ef" xmlns:ns4="90a9caed-1441-4e6e-970c-7f1ae8660165" targetNamespace="http://schemas.microsoft.com/office/2006/metadata/properties" ma:root="true" ma:fieldsID="18ac0bef3ad4cc5a6152d7bbfb167c93" ns2:_="" ns3:_="" ns4:_="">
    <xsd:import namespace="0a16e579-8e52-462c-b9fb-90fad13862ef"/>
    <xsd:import namespace="f2e3cb03-81f0-44cd-9968-695b701ef7ef"/>
    <xsd:import namespace="90a9caed-1441-4e6e-970c-7f1ae86601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6e579-8e52-462c-b9fb-90fad13862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d41e768-b4dc-4e34-8859-8330c77b32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3cb03-81f0-44cd-9968-695b701ef7e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9caed-1441-4e6e-970c-7f1ae866016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b95dd81-d04f-48cd-ad67-72baf97efcb5}" ma:internalName="TaxCatchAll" ma:showField="CatchAllData" ma:web="f2e3cb03-81f0-44cd-9968-695b701ef7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5BF83A-C909-471D-9221-76FC2FF6A91B}">
  <ds:schemaRefs>
    <ds:schemaRef ds:uri="http://schemas.microsoft.com/office/2006/metadata/properties"/>
    <ds:schemaRef ds:uri="http://schemas.microsoft.com/office/infopath/2007/PartnerControls"/>
    <ds:schemaRef ds:uri="0a16e579-8e52-462c-b9fb-90fad13862ef"/>
    <ds:schemaRef ds:uri="90a9caed-1441-4e6e-970c-7f1ae8660165"/>
  </ds:schemaRefs>
</ds:datastoreItem>
</file>

<file path=customXml/itemProps2.xml><?xml version="1.0" encoding="utf-8"?>
<ds:datastoreItem xmlns:ds="http://schemas.openxmlformats.org/officeDocument/2006/customXml" ds:itemID="{B4031E4A-C623-40EE-ADF3-C462DD3BCC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CEC2CC-0941-43C9-B656-667696CE4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16e579-8e52-462c-b9fb-90fad13862ef"/>
    <ds:schemaRef ds:uri="f2e3cb03-81f0-44cd-9968-695b701ef7ef"/>
    <ds:schemaRef ds:uri="90a9caed-1441-4e6e-970c-7f1ae86601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5c080e-3229-4a2e-b702-e00c8f196752}" enabled="1" method="Standard" siteId="{1aa51068-11a6-4bd2-8646-1fff31a30f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Mud Resistivity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Denny Helmuth</dc:creator>
  <cp:keywords/>
  <dc:description/>
  <cp:lastModifiedBy>Kurtis Ball</cp:lastModifiedBy>
  <cp:revision/>
  <dcterms:created xsi:type="dcterms:W3CDTF">2015-06-05T18:17:20Z</dcterms:created>
  <dcterms:modified xsi:type="dcterms:W3CDTF">2026-03-07T03:46:43Z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0x0101007936CBEE0A456044BDA65122A5B0F5F8</vt:lpwstr>
  </property>
  <property fmtid="{D5CDD505-2E9C-101B-9397-08002B2CF9AE}" pid="3" name="MediaServiceImageTags">
    <vt:lpwstr/>
  </property>
</Properties>
</file>