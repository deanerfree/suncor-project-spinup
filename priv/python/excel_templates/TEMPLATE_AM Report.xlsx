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deanerfree/projects/elixir/suncor-project-spinup/priv/python/excel_templates/"/>
    </mc:Choice>
  </mc:AlternateContent>
  <xr:revisionPtr revIDLastSave="0" documentId="13_ncr:1_{5EA2CC27-84FF-5B4A-AFC2-47F003E976B7}" xr6:coauthVersionLast="47" xr6:coauthVersionMax="47" xr10:uidLastSave="{00000000-0000-0000-0000-000000000000}"/>
  <bookViews>
    <workbookView xWindow="3420" yWindow="660" windowWidth="19100" windowHeight="13900" activeTab="1" xr2:uid="{26F572F5-B233-44A0-940B-1963B58B7EF0}"/>
  </bookViews>
  <sheets>
    <sheet name="Mar 03" sheetId="1" r:id="rId1"/>
    <sheet name="Mar 04" sheetId="2" r:id="rId2"/>
    <sheet name="Mar 05" sheetId="3" r:id="rId3"/>
    <sheet name="Mar 06" sheetId="4" r:id="rId4"/>
    <sheet name="Mar 07"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5" l="1"/>
  <c r="G13" i="5"/>
  <c r="G12" i="5"/>
  <c r="G45" i="5" l="1"/>
  <c r="I42" i="5"/>
  <c r="E42" i="5"/>
  <c r="J42" i="5" s="1"/>
  <c r="I41" i="5"/>
  <c r="E41" i="5"/>
  <c r="J41" i="5" s="1"/>
  <c r="J40" i="5"/>
  <c r="I40" i="5"/>
  <c r="E40" i="5"/>
  <c r="J39" i="5"/>
  <c r="I39" i="5"/>
  <c r="E39" i="5"/>
  <c r="J38" i="5"/>
  <c r="I38" i="5"/>
  <c r="E38" i="5"/>
  <c r="J37" i="5"/>
  <c r="I37" i="5"/>
  <c r="E37" i="5"/>
  <c r="J36" i="5"/>
  <c r="I36" i="5"/>
  <c r="E36" i="5"/>
  <c r="I35" i="5"/>
  <c r="E35" i="5"/>
  <c r="J35" i="5" s="1"/>
  <c r="I34" i="5"/>
  <c r="E34" i="5"/>
  <c r="J34" i="5" s="1"/>
  <c r="C16" i="5"/>
  <c r="G14" i="5"/>
  <c r="G12" i="4"/>
  <c r="G13" i="4"/>
  <c r="G45" i="4"/>
  <c r="J42" i="4"/>
  <c r="I42" i="4"/>
  <c r="E42" i="4"/>
  <c r="J41" i="4"/>
  <c r="I41" i="4"/>
  <c r="E41" i="4"/>
  <c r="J40" i="4"/>
  <c r="I40" i="4"/>
  <c r="E40" i="4"/>
  <c r="J39" i="4"/>
  <c r="I39" i="4"/>
  <c r="E39" i="4"/>
  <c r="J38" i="4"/>
  <c r="I38" i="4"/>
  <c r="E38" i="4"/>
  <c r="J37" i="4"/>
  <c r="I37" i="4"/>
  <c r="E37" i="4"/>
  <c r="J36" i="4"/>
  <c r="I36" i="4"/>
  <c r="E36" i="4"/>
  <c r="J35" i="4"/>
  <c r="I35" i="4"/>
  <c r="E35" i="4"/>
  <c r="J34" i="4"/>
  <c r="I34" i="4"/>
  <c r="E34" i="4"/>
  <c r="C16" i="4"/>
  <c r="G14" i="4"/>
  <c r="G13" i="3"/>
  <c r="G12" i="3"/>
  <c r="G14" i="3" s="1"/>
  <c r="G45" i="3"/>
  <c r="J42" i="3"/>
  <c r="I42" i="3"/>
  <c r="E42" i="3"/>
  <c r="J41" i="3"/>
  <c r="I41" i="3"/>
  <c r="E41" i="3"/>
  <c r="J40" i="3"/>
  <c r="I40" i="3"/>
  <c r="E40" i="3"/>
  <c r="J39" i="3"/>
  <c r="I39" i="3"/>
  <c r="E39" i="3"/>
  <c r="J38" i="3"/>
  <c r="I38" i="3"/>
  <c r="E38" i="3"/>
  <c r="J37" i="3"/>
  <c r="I37" i="3"/>
  <c r="E37" i="3"/>
  <c r="J36" i="3"/>
  <c r="I36" i="3"/>
  <c r="E36" i="3"/>
  <c r="I35" i="3"/>
  <c r="E35" i="3"/>
  <c r="J35" i="3" s="1"/>
  <c r="I34" i="3"/>
  <c r="E34" i="3"/>
  <c r="J34" i="3" s="1"/>
  <c r="C16" i="3"/>
  <c r="J42" i="2" l="1"/>
  <c r="I42" i="2"/>
  <c r="J41" i="2"/>
  <c r="I41" i="2"/>
  <c r="J40" i="2"/>
  <c r="I40" i="2"/>
  <c r="J39" i="2"/>
  <c r="I39" i="2"/>
  <c r="J38" i="2"/>
  <c r="I38" i="2"/>
  <c r="J37" i="2"/>
  <c r="I37" i="2"/>
  <c r="J36" i="2"/>
  <c r="I36" i="2"/>
  <c r="I35" i="2"/>
  <c r="J35" i="2"/>
  <c r="I34" i="2"/>
  <c r="J34" i="2"/>
  <c r="C16" i="2"/>
  <c r="G45" i="1"/>
  <c r="J35" i="1"/>
  <c r="J36" i="1"/>
  <c r="J37" i="1"/>
  <c r="J38" i="1"/>
  <c r="J39" i="1"/>
  <c r="J40" i="1"/>
  <c r="J41" i="1"/>
  <c r="J42" i="1"/>
  <c r="J34" i="1"/>
  <c r="G14" i="1"/>
  <c r="I35" i="1"/>
  <c r="I36" i="1"/>
  <c r="I37" i="1"/>
  <c r="I38" i="1"/>
  <c r="I39" i="1"/>
  <c r="I40" i="1"/>
  <c r="I41" i="1"/>
  <c r="I42" i="1"/>
  <c r="I34" i="1"/>
  <c r="E35" i="1"/>
  <c r="E36" i="1"/>
  <c r="E37" i="1"/>
  <c r="E38" i="1"/>
  <c r="E39" i="1"/>
  <c r="E40" i="1"/>
  <c r="E41" i="1"/>
  <c r="E42" i="1"/>
  <c r="E34" i="1"/>
  <c r="C16" i="1"/>
</calcChain>
</file>

<file path=xl/sharedStrings.xml><?xml version="1.0" encoding="utf-8"?>
<sst xmlns="http://schemas.openxmlformats.org/spreadsheetml/2006/main" count="472" uniqueCount="108">
  <si>
    <t>DAILY GEOLOGICAL REPORT</t>
  </si>
  <si>
    <t>Report #</t>
  </si>
  <si>
    <t>WELL CONTACTS</t>
  </si>
  <si>
    <t>Operator</t>
  </si>
  <si>
    <t>Suncor Energy Inc.</t>
  </si>
  <si>
    <t>Office Geologist</t>
  </si>
  <si>
    <t>Wellsite Geologists</t>
  </si>
  <si>
    <t>Date</t>
  </si>
  <si>
    <t>Wellsite Geology Contractor</t>
  </si>
  <si>
    <t>Drilling Rig</t>
  </si>
  <si>
    <t>Drilling Supervisors</t>
  </si>
  <si>
    <t>Days</t>
  </si>
  <si>
    <t>Nights</t>
  </si>
  <si>
    <t>License No.</t>
  </si>
  <si>
    <t>AFE No.</t>
  </si>
  <si>
    <t>Spud Date</t>
  </si>
  <si>
    <t>KB</t>
  </si>
  <si>
    <t>GL</t>
  </si>
  <si>
    <t>KB  - GL</t>
  </si>
  <si>
    <t>24 Hr. Progress</t>
  </si>
  <si>
    <t>Drill time (hrs)</t>
  </si>
  <si>
    <t>Avg ROP (m/hr)</t>
  </si>
  <si>
    <t>Current Formation</t>
  </si>
  <si>
    <t>Target Formation</t>
  </si>
  <si>
    <t>Surface Hole</t>
  </si>
  <si>
    <t>Surface Casing</t>
  </si>
  <si>
    <t>Main Hole</t>
  </si>
  <si>
    <t>HOLE GEOMETRY</t>
  </si>
  <si>
    <t>SIZE</t>
  </si>
  <si>
    <t>DEPTH</t>
  </si>
  <si>
    <t>MUD</t>
  </si>
  <si>
    <t>WELL DETAILS</t>
  </si>
  <si>
    <t>24HR OPERATIONS SUMMARY - 06:00 TO 06:00 HRS.</t>
  </si>
  <si>
    <t>24HR OPERATIONS FORECAST</t>
  </si>
  <si>
    <t>FORMATION TOPS AND MARKERS</t>
  </si>
  <si>
    <t>Base of Drift</t>
  </si>
  <si>
    <t>Clearwater Top</t>
  </si>
  <si>
    <t>Upper McMurray</t>
  </si>
  <si>
    <t>Beaverhill Lake</t>
  </si>
  <si>
    <t>Total Depth</t>
  </si>
  <si>
    <t>Prognosed</t>
  </si>
  <si>
    <t>TVD (m)</t>
  </si>
  <si>
    <t>MD (m)</t>
  </si>
  <si>
    <t>Cutting Samples / Lithology</t>
  </si>
  <si>
    <t>Mid McMurray / RMZ Base</t>
  </si>
  <si>
    <t>TVD  (M)</t>
  </si>
  <si>
    <t>Prog - Sample (m)</t>
  </si>
  <si>
    <t>Formation Top / Marker</t>
  </si>
  <si>
    <t>OVERALL CORING DETAILS</t>
  </si>
  <si>
    <t>Total Core Cut (m)</t>
  </si>
  <si>
    <t>Total Core Recovered (m)</t>
  </si>
  <si>
    <t>Total Recovery (%)</t>
  </si>
  <si>
    <t># of Core Runs</t>
  </si>
  <si>
    <t>Total Hours</t>
  </si>
  <si>
    <t>ADDITIONAL REMARKS</t>
  </si>
  <si>
    <t>RIG PHONE #</t>
  </si>
  <si>
    <t>Days from spud</t>
  </si>
  <si>
    <t xml:space="preserve">CURRENT OPERATIONS @ 06:00 HRS. </t>
  </si>
  <si>
    <t>MUD RESISTIVITY CHECKS</t>
  </si>
  <si>
    <t>Temp (°C)</t>
  </si>
  <si>
    <t>Coring Start Depth (m)</t>
  </si>
  <si>
    <t>Res (Ω)</t>
  </si>
  <si>
    <t>PHONE NUMBERS</t>
  </si>
  <si>
    <t>Depth @ 06:00 Hrs. (m)</t>
  </si>
  <si>
    <t>Sample
Depth (m)</t>
  </si>
  <si>
    <t>TVDASL (m)</t>
  </si>
  <si>
    <t>Shoaib Azmi</t>
  </si>
  <si>
    <t>SUNCOR OB300 FIREBAG 9-13-95-6</t>
  </si>
  <si>
    <t>1AB/09-13-095-06W4/0</t>
  </si>
  <si>
    <t>Chinook Consulting Services</t>
  </si>
  <si>
    <t>Akita 12</t>
  </si>
  <si>
    <t>Peter Nyman</t>
  </si>
  <si>
    <t>Brent Hall</t>
  </si>
  <si>
    <t>Eric Bremer</t>
  </si>
  <si>
    <t>Conrad Watrych</t>
  </si>
  <si>
    <t>403-296-6842</t>
  </si>
  <si>
    <t>587-500-9967</t>
  </si>
  <si>
    <t>403-463-7233</t>
  </si>
  <si>
    <t>587-223-4821</t>
  </si>
  <si>
    <t>SUENTQ00166572</t>
  </si>
  <si>
    <t>0520877</t>
  </si>
  <si>
    <t>Caprock Core Point</t>
  </si>
  <si>
    <t>Lower Wab/ RMZ Top</t>
  </si>
  <si>
    <t>Production Casing</t>
  </si>
  <si>
    <t>Gel Slurry</t>
  </si>
  <si>
    <t>Polymer</t>
  </si>
  <si>
    <t xml:space="preserve">Moved rig from OB274, spot rig on location, rig up, raise derrick, nipple up diverter, pressure test, pick up 159mm BHA and RIH, drill out surface cement and casing shoe, drilled to 98.9m, TOOH, pick up 159mm coring BHA and RIH, </t>
  </si>
  <si>
    <t>Core Point</t>
  </si>
  <si>
    <t>Running in hole with coring BHA.</t>
  </si>
  <si>
    <t xml:space="preserve">Continue to run in hole with 159mm coring BHA, tag bottom, conduct slough run, continue coring to TD. </t>
  </si>
  <si>
    <t>Continue coring to TD.</t>
  </si>
  <si>
    <t>Shoaib Azmi / Kurt Ball</t>
  </si>
  <si>
    <t>403-463-7233 / 587-581-3632</t>
  </si>
  <si>
    <t>Continue coring, core runs from 31 to 53</t>
  </si>
  <si>
    <t>Coring run 54</t>
  </si>
  <si>
    <t>Run 52 @ 232mKB drilling slowed down, possibly due to annulus closing in around pipe. After collecting the core we completed a pump sweep to clean up hole (Runs 52 &amp; 53).
We are seeing an improvement in recovery coming up to 92.57%</t>
  </si>
  <si>
    <t>Kurt Ball</t>
  </si>
  <si>
    <t>Denys Knokh</t>
  </si>
  <si>
    <t>368-997-5818</t>
  </si>
  <si>
    <t xml:space="preserve"> 587-581-3632</t>
  </si>
  <si>
    <t>Coring run 87</t>
  </si>
  <si>
    <t>Continue coring, core runs from 54 to 86, Reached the McMurray top at 244.5mKB; Reached BHL @ 328; TD will be at 341mKB</t>
  </si>
  <si>
    <t>Drill to TD; TOOH; Wiper trip, TOOH, setup loggers, log well, Run in intermediate casing, cement</t>
  </si>
  <si>
    <t>B tube added for run 84 due to 0.4m expansion.</t>
  </si>
  <si>
    <t>Run production casing; rig in cementers, cement well; rig out</t>
  </si>
  <si>
    <t>Drilled to TD due to poor core recovery leading to tripping out of the well due to poor recovery.
CMI added to 3rd logging run due to pads not fully touching</t>
  </si>
  <si>
    <t>Finishing up logging run #3</t>
  </si>
  <si>
    <t>Cored to 334.3mKB, stopped coring due to poor recovery, found 0.3m core wedged in core pipe. Changed BHA to drill BHA as limestone contact was in run 86. Rig out Explore, Drilled to TD @ 341mKB at 15:45. Circulate and condition mud. TOOH. Rig in loggers, Log well, issue with CMI imager not all pads made contact will rerun on 3rd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</si>
</sst>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mmmm\ d\,\ yyyy;@"/>
    <numFmt numFmtId="165" formatCode="0.0"/>
  </numFmts>
  <fonts count="9"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6"/>
      <color theme="0"/>
      <name val="Aptos Narrow"/>
      <family val="2"/>
      <scheme val="minor"/>
    </font>
    <font>
      <b/>
      <sz val="18"/>
      <color theme="1"/>
      <name val="Aptos Narrow"/>
      <family val="2"/>
      <scheme val="minor"/>
    </font>
    <font>
      <b/>
      <sz val="16"/>
      <color theme="1"/>
      <name val="Aptos Narrow"/>
      <family val="2"/>
      <scheme val="minor"/>
    </font>
    <font>
      <b/>
      <sz val="12"/>
      <color theme="1"/>
      <name val="Aptos Narrow"/>
      <family val="2"/>
      <scheme val="minor"/>
    </font>
    <font>
      <b/>
      <sz val="14"/>
      <color theme="1"/>
      <name val="Aptos Narrow"/>
      <family val="2"/>
      <scheme val="minor"/>
    </font>
  </fonts>
  <fills count="5">
    <fill>
      <patternFill patternType="none"/>
    </fill>
    <fill>
      <patternFill patternType="gray125"/>
    </fill>
    <fill>
      <patternFill patternType="solid">
        <fgColor theme="0" tint="-0.499984740745262"/>
        <bgColor indexed="64"/>
      </patternFill>
    </fill>
    <fill>
      <patternFill patternType="solid">
        <fgColor rgb="FFFFFFCC"/>
        <bgColor indexed="64"/>
      </patternFill>
    </fill>
    <fill>
      <patternFill patternType="solid">
        <fgColor rgb="FFFFC000"/>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s>
  <cellStyleXfs count="1">
    <xf numFmtId="0" fontId="0" fillId="0" borderId="0"/>
  </cellStyleXfs>
  <cellXfs count="153">
    <xf numFmtId="0" fontId="0" fillId="0" borderId="0" xfId="0"/>
    <xf numFmtId="0" fontId="0" fillId="0" borderId="0" xfId="0" applyAlignment="1">
      <alignment vertical="center"/>
    </xf>
    <xf numFmtId="0" fontId="2" fillId="0" borderId="1" xfId="0" applyFont="1" applyBorder="1" applyAlignment="1">
      <alignment horizontal="right"/>
    </xf>
    <xf numFmtId="0" fontId="2" fillId="0" borderId="1" xfId="0" applyFont="1" applyBorder="1" applyAlignment="1">
      <alignment horizontal="center"/>
    </xf>
    <xf numFmtId="0" fontId="2" fillId="0" borderId="2" xfId="0" applyFont="1" applyBorder="1" applyAlignment="1">
      <alignment horizontal="right" vertical="center"/>
    </xf>
    <xf numFmtId="0" fontId="2" fillId="0" borderId="6" xfId="0" applyFont="1" applyBorder="1" applyAlignment="1">
      <alignment horizontal="center"/>
    </xf>
    <xf numFmtId="0" fontId="2" fillId="0" borderId="1" xfId="0" applyFont="1" applyBorder="1" applyAlignment="1">
      <alignment horizontal="right" vertical="center"/>
    </xf>
    <xf numFmtId="0" fontId="0" fillId="0" borderId="1" xfId="0" applyBorder="1" applyProtection="1">
      <protection locked="0"/>
    </xf>
    <xf numFmtId="0" fontId="0" fillId="0" borderId="36" xfId="0" applyBorder="1" applyProtection="1">
      <protection locked="0"/>
    </xf>
    <xf numFmtId="0" fontId="0" fillId="0" borderId="6" xfId="0" applyBorder="1" applyAlignment="1" applyProtection="1">
      <alignment horizontal="center"/>
      <protection locked="0"/>
    </xf>
    <xf numFmtId="0" fontId="0" fillId="0" borderId="5" xfId="0" applyBorder="1" applyProtection="1">
      <protection locked="0"/>
    </xf>
    <xf numFmtId="0" fontId="0" fillId="0" borderId="6" xfId="0" applyBorder="1" applyProtection="1">
      <protection locked="0"/>
    </xf>
    <xf numFmtId="0" fontId="0" fillId="0" borderId="35" xfId="0" applyBorder="1" applyProtection="1">
      <protection locked="0"/>
    </xf>
    <xf numFmtId="0" fontId="0" fillId="0" borderId="43" xfId="0" applyBorder="1" applyProtection="1">
      <protection locked="0"/>
    </xf>
    <xf numFmtId="2" fontId="0" fillId="0" borderId="1" xfId="0" applyNumberFormat="1" applyBorder="1" applyAlignment="1" applyProtection="1">
      <alignment horizontal="center"/>
      <protection locked="0"/>
    </xf>
    <xf numFmtId="0" fontId="8" fillId="3" borderId="6" xfId="0" applyFont="1" applyFill="1" applyBorder="1" applyAlignment="1" applyProtection="1">
      <alignment horizontal="center"/>
      <protection locked="0"/>
    </xf>
    <xf numFmtId="0" fontId="8" fillId="3" borderId="19" xfId="0" applyFont="1" applyFill="1" applyBorder="1" applyAlignment="1" applyProtection="1">
      <alignment horizontal="center"/>
      <protection locked="0"/>
    </xf>
    <xf numFmtId="2" fontId="0" fillId="3" borderId="1" xfId="0" applyNumberFormat="1" applyFill="1" applyBorder="1" applyAlignment="1" applyProtection="1">
      <alignment horizontal="center"/>
      <protection locked="0"/>
    </xf>
    <xf numFmtId="2" fontId="0" fillId="0" borderId="1" xfId="0" applyNumberFormat="1" applyBorder="1" applyAlignment="1">
      <alignment horizontal="center"/>
    </xf>
    <xf numFmtId="2" fontId="0" fillId="3" borderId="36" xfId="0" applyNumberFormat="1" applyFill="1" applyBorder="1" applyAlignment="1" applyProtection="1">
      <alignment horizontal="center"/>
      <protection locked="0"/>
    </xf>
    <xf numFmtId="2" fontId="0" fillId="0" borderId="36" xfId="0" applyNumberFormat="1" applyBorder="1" applyAlignment="1">
      <alignment horizontal="center"/>
    </xf>
    <xf numFmtId="2" fontId="0" fillId="0" borderId="36" xfId="0" applyNumberFormat="1" applyBorder="1" applyAlignment="1" applyProtection="1">
      <alignment horizontal="center"/>
      <protection locked="0"/>
    </xf>
    <xf numFmtId="0" fontId="0" fillId="0" borderId="1" xfId="0" applyBorder="1" applyAlignment="1" applyProtection="1">
      <alignment horizontal="center"/>
      <protection locked="0"/>
    </xf>
    <xf numFmtId="0" fontId="0" fillId="0" borderId="5" xfId="0" applyBorder="1" applyAlignment="1" applyProtection="1">
      <alignment horizontal="center"/>
      <protection locked="0"/>
    </xf>
    <xf numFmtId="165" fontId="0" fillId="0" borderId="1" xfId="0" applyNumberFormat="1" applyBorder="1" applyAlignment="1" applyProtection="1">
      <alignment horizontal="center"/>
      <protection locked="0"/>
    </xf>
    <xf numFmtId="165" fontId="0" fillId="0" borderId="6" xfId="0" applyNumberFormat="1" applyBorder="1" applyAlignment="1" applyProtection="1">
      <alignment horizontal="center"/>
      <protection locked="0"/>
    </xf>
    <xf numFmtId="165" fontId="0" fillId="0" borderId="36" xfId="0" applyNumberFormat="1" applyBorder="1" applyAlignment="1" applyProtection="1">
      <alignment horizontal="center"/>
      <protection locked="0"/>
    </xf>
    <xf numFmtId="0" fontId="0" fillId="0" borderId="5"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1" fillId="2" borderId="12" xfId="0" applyFont="1" applyFill="1" applyBorder="1" applyAlignment="1">
      <alignment horizontal="center"/>
    </xf>
    <xf numFmtId="0" fontId="1" fillId="2" borderId="0" xfId="0" applyFont="1" applyFill="1" applyAlignment="1">
      <alignment horizontal="center"/>
    </xf>
    <xf numFmtId="0" fontId="1" fillId="2" borderId="13" xfId="0" applyFont="1" applyFill="1" applyBorder="1" applyAlignment="1">
      <alignment horizontal="center"/>
    </xf>
    <xf numFmtId="0" fontId="0" fillId="0" borderId="12" xfId="0" applyBorder="1" applyAlignment="1" applyProtection="1">
      <alignment horizontal="center" vertical="top" wrapText="1"/>
      <protection locked="0"/>
    </xf>
    <xf numFmtId="0" fontId="0" fillId="0" borderId="0" xfId="0" applyAlignment="1" applyProtection="1">
      <alignment horizontal="center" vertical="top" wrapText="1"/>
      <protection locked="0"/>
    </xf>
    <xf numFmtId="0" fontId="0" fillId="0" borderId="13" xfId="0" applyBorder="1" applyAlignment="1" applyProtection="1">
      <alignment horizontal="center" vertical="top" wrapText="1"/>
      <protection locked="0"/>
    </xf>
    <xf numFmtId="0" fontId="0" fillId="0" borderId="14" xfId="0" applyBorder="1" applyAlignment="1" applyProtection="1">
      <alignment horizontal="center" vertical="top" wrapText="1"/>
      <protection locked="0"/>
    </xf>
    <xf numFmtId="0" fontId="0" fillId="0" borderId="15" xfId="0" applyBorder="1" applyAlignment="1" applyProtection="1">
      <alignment horizontal="center" vertical="top" wrapText="1"/>
      <protection locked="0"/>
    </xf>
    <xf numFmtId="0" fontId="0" fillId="0" borderId="16" xfId="0" applyBorder="1" applyAlignment="1" applyProtection="1">
      <alignment horizontal="center" vertical="top" wrapText="1"/>
      <protection locked="0"/>
    </xf>
    <xf numFmtId="2" fontId="0" fillId="0" borderId="5" xfId="0" applyNumberFormat="1" applyBorder="1" applyAlignment="1" applyProtection="1">
      <alignment horizontal="center"/>
      <protection locked="0"/>
    </xf>
    <xf numFmtId="2" fontId="0" fillId="0" borderId="1" xfId="0" applyNumberFormat="1" applyBorder="1" applyAlignment="1" applyProtection="1">
      <alignment horizontal="center"/>
      <protection locked="0"/>
    </xf>
    <xf numFmtId="10" fontId="0" fillId="0" borderId="1" xfId="0" applyNumberFormat="1" applyBorder="1" applyAlignment="1">
      <alignment horizontal="center"/>
    </xf>
    <xf numFmtId="0" fontId="0" fillId="0" borderId="1" xfId="0" applyBorder="1" applyAlignment="1" applyProtection="1">
      <alignment horizontal="center"/>
      <protection locked="0"/>
    </xf>
    <xf numFmtId="0" fontId="0" fillId="0" borderId="6" xfId="0" applyBorder="1" applyAlignment="1" applyProtection="1">
      <alignment horizontal="center"/>
      <protection locked="0"/>
    </xf>
    <xf numFmtId="0" fontId="2" fillId="0" borderId="5" xfId="0" applyFont="1" applyBorder="1" applyAlignment="1">
      <alignment horizontal="center"/>
    </xf>
    <xf numFmtId="0" fontId="2" fillId="0" borderId="1" xfId="0" applyFont="1" applyBorder="1" applyAlignment="1">
      <alignment horizontal="center"/>
    </xf>
    <xf numFmtId="0" fontId="2" fillId="0" borderId="6" xfId="0" applyFont="1" applyBorder="1" applyAlignment="1">
      <alignment horizontal="center"/>
    </xf>
    <xf numFmtId="0" fontId="0" fillId="0" borderId="29" xfId="0" applyBorder="1" applyAlignment="1">
      <alignment horizontal="right"/>
    </xf>
    <xf numFmtId="0" fontId="0" fillId="0" borderId="24" xfId="0" applyBorder="1" applyAlignment="1">
      <alignment horizontal="right"/>
    </xf>
    <xf numFmtId="0" fontId="0" fillId="0" borderId="30" xfId="0" applyBorder="1" applyAlignment="1">
      <alignment horizontal="right"/>
    </xf>
    <xf numFmtId="2" fontId="0" fillId="0" borderId="23" xfId="0" applyNumberFormat="1" applyBorder="1" applyAlignment="1">
      <alignment horizontal="center"/>
    </xf>
    <xf numFmtId="2" fontId="0" fillId="0" borderId="25" xfId="0" applyNumberFormat="1" applyBorder="1" applyAlignment="1">
      <alignment horizontal="center"/>
    </xf>
    <xf numFmtId="0" fontId="0" fillId="0" borderId="39" xfId="0" applyBorder="1" applyAlignment="1">
      <alignment horizontal="right"/>
    </xf>
    <xf numFmtId="0" fontId="0" fillId="0" borderId="40" xfId="0" applyBorder="1" applyAlignment="1">
      <alignment horizontal="right"/>
    </xf>
    <xf numFmtId="0" fontId="0" fillId="0" borderId="41" xfId="0" applyBorder="1" applyAlignment="1">
      <alignment horizontal="right"/>
    </xf>
    <xf numFmtId="2" fontId="0" fillId="0" borderId="37" xfId="0" applyNumberFormat="1" applyBorder="1" applyAlignment="1">
      <alignment horizontal="center"/>
    </xf>
    <xf numFmtId="2" fontId="0" fillId="0" borderId="38" xfId="0" applyNumberFormat="1" applyBorder="1" applyAlignment="1">
      <alignment horizontal="center"/>
    </xf>
    <xf numFmtId="0" fontId="2" fillId="0" borderId="12" xfId="0" applyFont="1" applyBorder="1" applyAlignment="1">
      <alignment horizontal="center" vertical="center"/>
    </xf>
    <xf numFmtId="0" fontId="2" fillId="0" borderId="0" xfId="0" applyFont="1" applyAlignment="1">
      <alignment horizontal="center" vertical="center"/>
    </xf>
    <xf numFmtId="0" fontId="2" fillId="0" borderId="31" xfId="0" applyFont="1" applyBorder="1" applyAlignment="1">
      <alignment horizontal="center" vertical="center"/>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2" fillId="0" borderId="32" xfId="0" applyFont="1" applyBorder="1" applyAlignment="1">
      <alignment horizontal="center"/>
    </xf>
    <xf numFmtId="0" fontId="2" fillId="0" borderId="7" xfId="0" applyFont="1" applyBorder="1" applyAlignment="1">
      <alignment horizontal="center"/>
    </xf>
    <xf numFmtId="0" fontId="2" fillId="0" borderId="34" xfId="0" applyFont="1" applyBorder="1" applyAlignment="1">
      <alignment horizontal="center"/>
    </xf>
    <xf numFmtId="0" fontId="2" fillId="0" borderId="8" xfId="0" applyFont="1" applyBorder="1" applyAlignment="1">
      <alignment horizontal="center"/>
    </xf>
    <xf numFmtId="0" fontId="2" fillId="0" borderId="45" xfId="0" applyFont="1" applyBorder="1" applyAlignment="1">
      <alignment horizontal="center" vertical="center" wrapText="1"/>
    </xf>
    <xf numFmtId="0" fontId="2" fillId="0" borderId="44" xfId="0" applyFont="1" applyBorder="1" applyAlignment="1">
      <alignment horizontal="center" vertical="center"/>
    </xf>
    <xf numFmtId="0" fontId="2" fillId="0" borderId="46" xfId="0" applyFont="1" applyBorder="1" applyAlignment="1">
      <alignment horizontal="center" vertical="center"/>
    </xf>
    <xf numFmtId="0" fontId="2" fillId="0" borderId="32" xfId="0" applyFont="1" applyBorder="1" applyAlignment="1">
      <alignment horizontal="center" vertical="center"/>
    </xf>
    <xf numFmtId="0" fontId="2" fillId="0" borderId="47" xfId="0" applyFont="1" applyBorder="1" applyAlignment="1">
      <alignment horizontal="center" vertical="center"/>
    </xf>
    <xf numFmtId="0" fontId="2" fillId="0" borderId="33" xfId="0" applyFont="1" applyBorder="1" applyAlignment="1">
      <alignment horizontal="center" vertical="center"/>
    </xf>
    <xf numFmtId="0" fontId="2" fillId="0" borderId="23" xfId="0" applyFont="1" applyBorder="1" applyAlignment="1">
      <alignment horizontal="center"/>
    </xf>
    <xf numFmtId="0" fontId="2" fillId="0" borderId="25" xfId="0" applyFont="1" applyBorder="1" applyAlignment="1">
      <alignment horizontal="center"/>
    </xf>
    <xf numFmtId="0" fontId="0" fillId="3" borderId="20" xfId="0" applyFill="1" applyBorder="1" applyAlignment="1" applyProtection="1">
      <alignment horizontal="center" wrapText="1"/>
      <protection locked="0"/>
    </xf>
    <xf numFmtId="0" fontId="0" fillId="3" borderId="21" xfId="0" applyFill="1" applyBorder="1" applyAlignment="1" applyProtection="1">
      <alignment horizontal="center" wrapText="1"/>
      <protection locked="0"/>
    </xf>
    <xf numFmtId="0" fontId="0" fillId="3" borderId="22" xfId="0" applyFill="1" applyBorder="1" applyAlignment="1" applyProtection="1">
      <alignment horizontal="center" wrapText="1"/>
      <protection locked="0"/>
    </xf>
    <xf numFmtId="0" fontId="1" fillId="2" borderId="20" xfId="0" applyFont="1" applyFill="1" applyBorder="1" applyAlignment="1">
      <alignment horizontal="center"/>
    </xf>
    <xf numFmtId="0" fontId="1" fillId="2" borderId="21" xfId="0" applyFont="1" applyFill="1" applyBorder="1" applyAlignment="1">
      <alignment horizontal="center"/>
    </xf>
    <xf numFmtId="0" fontId="1" fillId="2" borderId="22" xfId="0" applyFont="1" applyFill="1" applyBorder="1" applyAlignment="1">
      <alignment horizontal="center"/>
    </xf>
    <xf numFmtId="0" fontId="0" fillId="3" borderId="9" xfId="0" applyFill="1" applyBorder="1" applyAlignment="1" applyProtection="1">
      <alignment horizontal="left" vertical="top" wrapText="1"/>
      <protection locked="0"/>
    </xf>
    <xf numFmtId="0" fontId="0" fillId="3" borderId="10" xfId="0" applyFill="1" applyBorder="1" applyAlignment="1" applyProtection="1">
      <alignment horizontal="left" vertical="top" wrapText="1"/>
      <protection locked="0"/>
    </xf>
    <xf numFmtId="0" fontId="0" fillId="3" borderId="11" xfId="0" applyFill="1" applyBorder="1" applyAlignment="1" applyProtection="1">
      <alignment horizontal="left" vertical="top" wrapText="1"/>
      <protection locked="0"/>
    </xf>
    <xf numFmtId="0" fontId="0" fillId="3" borderId="12" xfId="0" applyFill="1" applyBorder="1" applyAlignment="1" applyProtection="1">
      <alignment horizontal="left" vertical="top" wrapText="1"/>
      <protection locked="0"/>
    </xf>
    <xf numFmtId="0" fontId="0" fillId="3" borderId="0" xfId="0" applyFill="1" applyAlignment="1" applyProtection="1">
      <alignment horizontal="left" vertical="top" wrapText="1"/>
      <protection locked="0"/>
    </xf>
    <xf numFmtId="0" fontId="0" fillId="3" borderId="13" xfId="0" applyFill="1" applyBorder="1" applyAlignment="1" applyProtection="1">
      <alignment horizontal="left" vertical="top" wrapText="1"/>
      <protection locked="0"/>
    </xf>
    <xf numFmtId="0" fontId="0" fillId="3" borderId="14" xfId="0" applyFill="1" applyBorder="1" applyAlignment="1" applyProtection="1">
      <alignment horizontal="left" vertical="top" wrapText="1"/>
      <protection locked="0"/>
    </xf>
    <xf numFmtId="0" fontId="0" fillId="3" borderId="15" xfId="0" applyFill="1" applyBorder="1" applyAlignment="1" applyProtection="1">
      <alignment horizontal="left" vertical="top" wrapText="1"/>
      <protection locked="0"/>
    </xf>
    <xf numFmtId="0" fontId="0" fillId="3" borderId="16" xfId="0" applyFill="1" applyBorder="1" applyAlignment="1" applyProtection="1">
      <alignment horizontal="left" vertical="top" wrapText="1"/>
      <protection locked="0"/>
    </xf>
    <xf numFmtId="0" fontId="2" fillId="0" borderId="5" xfId="0" applyFont="1" applyBorder="1" applyAlignment="1">
      <alignment horizontal="right"/>
    </xf>
    <xf numFmtId="0" fontId="2" fillId="0" borderId="1" xfId="0" applyFont="1" applyBorder="1" applyAlignment="1">
      <alignment horizontal="right"/>
    </xf>
    <xf numFmtId="2" fontId="0" fillId="3" borderId="1" xfId="0" applyNumberFormat="1" applyFill="1" applyBorder="1" applyAlignment="1" applyProtection="1">
      <alignment horizontal="center"/>
      <protection locked="0"/>
    </xf>
    <xf numFmtId="0" fontId="0" fillId="3" borderId="1" xfId="0" applyFill="1" applyBorder="1" applyAlignment="1" applyProtection="1">
      <alignment horizontal="center"/>
      <protection locked="0"/>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2" fontId="0" fillId="0" borderId="1" xfId="0" applyNumberFormat="1" applyBorder="1" applyAlignment="1">
      <alignment horizontal="center"/>
    </xf>
    <xf numFmtId="164" fontId="0" fillId="3" borderId="1" xfId="0" applyNumberFormat="1" applyFill="1" applyBorder="1" applyAlignment="1" applyProtection="1">
      <alignment horizontal="center"/>
      <protection locked="0"/>
    </xf>
    <xf numFmtId="0" fontId="0" fillId="3" borderId="1" xfId="0" quotePrefix="1" applyFill="1" applyBorder="1" applyAlignment="1" applyProtection="1">
      <alignment horizontal="center"/>
      <protection locked="0"/>
    </xf>
    <xf numFmtId="0" fontId="0" fillId="0" borderId="1" xfId="0" applyBorder="1" applyAlignment="1">
      <alignment horizontal="center"/>
    </xf>
    <xf numFmtId="0" fontId="2" fillId="0" borderId="5" xfId="0" applyFont="1" applyBorder="1" applyAlignment="1">
      <alignment horizontal="center" vertical="center"/>
    </xf>
    <xf numFmtId="0" fontId="2" fillId="0" borderId="1" xfId="0" applyFont="1" applyBorder="1" applyAlignment="1">
      <alignment horizontal="center" vertical="center"/>
    </xf>
    <xf numFmtId="0" fontId="0" fillId="3" borderId="1" xfId="0" applyFill="1" applyBorder="1" applyAlignment="1" applyProtection="1">
      <alignment horizontal="center" vertical="center"/>
      <protection locked="0"/>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6" xfId="0" applyFont="1" applyFill="1" applyBorder="1" applyAlignment="1">
      <alignment horizontal="center" vertical="center"/>
    </xf>
    <xf numFmtId="0" fontId="0" fillId="3" borderId="6" xfId="0" applyFill="1" applyBorder="1" applyAlignment="1" applyProtection="1">
      <alignment horizontal="center" vertical="center"/>
      <protection locked="0"/>
    </xf>
    <xf numFmtId="0" fontId="0" fillId="0" borderId="9"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0" xfId="0"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xf numFmtId="164" fontId="7" fillId="3" borderId="7" xfId="0" applyNumberFormat="1" applyFont="1" applyFill="1" applyBorder="1" applyAlignment="1" applyProtection="1">
      <alignment horizontal="center"/>
      <protection locked="0"/>
    </xf>
    <xf numFmtId="164" fontId="7" fillId="3" borderId="8" xfId="0" applyNumberFormat="1" applyFont="1" applyFill="1" applyBorder="1" applyAlignment="1" applyProtection="1">
      <alignment horizontal="center"/>
      <protection locked="0"/>
    </xf>
    <xf numFmtId="0" fontId="5" fillId="3" borderId="5" xfId="0" applyFont="1" applyFill="1" applyBorder="1" applyAlignment="1" applyProtection="1">
      <alignment horizontal="center"/>
      <protection locked="0"/>
    </xf>
    <xf numFmtId="0" fontId="5" fillId="3" borderId="1" xfId="0" applyFont="1" applyFill="1" applyBorder="1" applyAlignment="1" applyProtection="1">
      <alignment horizontal="center"/>
      <protection locked="0"/>
    </xf>
    <xf numFmtId="0" fontId="5" fillId="3" borderId="6" xfId="0" applyFont="1" applyFill="1" applyBorder="1" applyAlignment="1" applyProtection="1">
      <alignment horizontal="center"/>
      <protection locked="0"/>
    </xf>
    <xf numFmtId="0" fontId="2" fillId="0" borderId="5" xfId="0" applyFont="1" applyBorder="1" applyAlignment="1">
      <alignment horizontal="right" vertical="center"/>
    </xf>
    <xf numFmtId="0" fontId="0" fillId="0" borderId="1" xfId="0" applyBorder="1" applyAlignment="1">
      <alignment horizontal="right" vertical="center"/>
    </xf>
    <xf numFmtId="0" fontId="6" fillId="3" borderId="17" xfId="0" applyFont="1" applyFill="1" applyBorder="1" applyAlignment="1" applyProtection="1">
      <alignment horizontal="center"/>
      <protection locked="0"/>
    </xf>
    <xf numFmtId="0" fontId="6" fillId="3" borderId="18" xfId="0" applyFont="1" applyFill="1" applyBorder="1" applyAlignment="1" applyProtection="1">
      <alignment horizontal="center"/>
      <protection locked="0"/>
    </xf>
    <xf numFmtId="0" fontId="6" fillId="3" borderId="19" xfId="0" applyFont="1" applyFill="1" applyBorder="1" applyAlignment="1" applyProtection="1">
      <alignment horizontal="center"/>
      <protection locked="0"/>
    </xf>
    <xf numFmtId="0" fontId="2" fillId="0" borderId="17" xfId="0" applyFont="1" applyBorder="1" applyAlignment="1">
      <alignment horizontal="right" vertical="center"/>
    </xf>
    <xf numFmtId="0" fontId="2" fillId="0" borderId="18" xfId="0" applyFont="1" applyBorder="1" applyAlignment="1">
      <alignment horizontal="right" vertical="center"/>
    </xf>
    <xf numFmtId="0" fontId="2" fillId="0" borderId="5" xfId="0" applyFont="1" applyBorder="1" applyAlignment="1">
      <alignment horizontal="right" wrapText="1"/>
    </xf>
    <xf numFmtId="0" fontId="2" fillId="0" borderId="1" xfId="0" applyFont="1" applyBorder="1" applyAlignment="1">
      <alignment horizontal="right" wrapText="1"/>
    </xf>
    <xf numFmtId="0" fontId="0" fillId="3" borderId="48" xfId="0" applyFill="1" applyBorder="1" applyAlignment="1" applyProtection="1">
      <alignment horizontal="center" vertical="center"/>
      <protection locked="0"/>
    </xf>
    <xf numFmtId="0" fontId="0" fillId="3" borderId="49" xfId="0" applyFill="1" applyBorder="1" applyAlignment="1" applyProtection="1">
      <alignment horizontal="center" vertical="center"/>
      <protection locked="0"/>
    </xf>
    <xf numFmtId="0" fontId="0" fillId="3" borderId="50" xfId="0" applyFill="1" applyBorder="1" applyAlignment="1" applyProtection="1">
      <alignment horizontal="center" vertical="center"/>
      <protection locked="0"/>
    </xf>
    <xf numFmtId="0" fontId="0" fillId="3" borderId="51" xfId="0" applyFill="1" applyBorder="1" applyAlignment="1" applyProtection="1">
      <alignment horizontal="center" vertical="center"/>
      <protection locked="0"/>
    </xf>
    <xf numFmtId="0" fontId="0" fillId="3" borderId="27" xfId="0" applyFill="1" applyBorder="1" applyAlignment="1" applyProtection="1">
      <alignment horizontal="center" vertical="center"/>
      <protection locked="0"/>
    </xf>
    <xf numFmtId="0" fontId="0" fillId="3" borderId="28" xfId="0" applyFill="1" applyBorder="1" applyAlignment="1" applyProtection="1">
      <alignment horizontal="center" vertical="center"/>
      <protection locked="0"/>
    </xf>
    <xf numFmtId="0" fontId="0" fillId="3" borderId="23" xfId="0" applyFill="1" applyBorder="1" applyAlignment="1" applyProtection="1">
      <alignment horizontal="center"/>
      <protection locked="0"/>
    </xf>
    <xf numFmtId="0" fontId="0" fillId="3" borderId="24" xfId="0" applyFill="1" applyBorder="1" applyAlignment="1" applyProtection="1">
      <alignment horizontal="center"/>
      <protection locked="0"/>
    </xf>
    <xf numFmtId="0" fontId="0" fillId="3" borderId="25" xfId="0" applyFill="1" applyBorder="1" applyAlignment="1" applyProtection="1">
      <alignment horizontal="center"/>
      <protection locked="0"/>
    </xf>
    <xf numFmtId="0" fontId="0" fillId="3" borderId="6" xfId="0" applyFill="1" applyBorder="1" applyAlignment="1" applyProtection="1">
      <alignment horizontal="center"/>
      <protection locked="0"/>
    </xf>
    <xf numFmtId="0" fontId="1" fillId="2" borderId="42" xfId="0" applyFont="1" applyFill="1" applyBorder="1" applyAlignment="1">
      <alignment horizontal="center"/>
    </xf>
    <xf numFmtId="0" fontId="1" fillId="2" borderId="34" xfId="0" applyFont="1" applyFill="1" applyBorder="1" applyAlignment="1">
      <alignment horizontal="center"/>
    </xf>
    <xf numFmtId="0" fontId="1" fillId="2" borderId="8" xfId="0" applyFont="1" applyFill="1" applyBorder="1" applyAlignment="1">
      <alignment horizontal="center"/>
    </xf>
    <xf numFmtId="0" fontId="0" fillId="4" borderId="1" xfId="0" applyFill="1" applyBorder="1" applyAlignment="1" applyProtection="1">
      <alignment horizontal="center"/>
      <protection locked="0"/>
    </xf>
    <xf numFmtId="0" fontId="0" fillId="3" borderId="9" xfId="0" applyFill="1" applyBorder="1" applyAlignment="1" applyProtection="1">
      <alignment horizontal="center" vertical="center" wrapText="1"/>
      <protection locked="0"/>
    </xf>
    <xf numFmtId="0" fontId="0" fillId="3" borderId="10" xfId="0" applyFill="1" applyBorder="1" applyAlignment="1" applyProtection="1">
      <alignment horizontal="center" vertical="center" wrapText="1"/>
      <protection locked="0"/>
    </xf>
    <xf numFmtId="0" fontId="0" fillId="3" borderId="11" xfId="0" applyFill="1" applyBorder="1" applyAlignment="1" applyProtection="1">
      <alignment horizontal="center" vertical="center" wrapText="1"/>
      <protection locked="0"/>
    </xf>
    <xf numFmtId="0" fontId="0" fillId="3" borderId="12" xfId="0" applyFill="1" applyBorder="1" applyAlignment="1" applyProtection="1">
      <alignment horizontal="center" vertical="center" wrapText="1"/>
      <protection locked="0"/>
    </xf>
    <xf numFmtId="0" fontId="0" fillId="3" borderId="0" xfId="0" applyFill="1" applyAlignment="1" applyProtection="1">
      <alignment horizontal="center" vertical="center" wrapText="1"/>
      <protection locked="0"/>
    </xf>
    <xf numFmtId="0" fontId="0" fillId="3" borderId="13" xfId="0" applyFill="1" applyBorder="1" applyAlignment="1" applyProtection="1">
      <alignment horizontal="center" vertical="center" wrapText="1"/>
      <protection locked="0"/>
    </xf>
    <xf numFmtId="0" fontId="0" fillId="3" borderId="14" xfId="0" applyFill="1" applyBorder="1" applyAlignment="1" applyProtection="1">
      <alignment horizontal="center" vertical="center" wrapText="1"/>
      <protection locked="0"/>
    </xf>
    <xf numFmtId="0" fontId="0" fillId="3" borderId="15" xfId="0" applyFill="1" applyBorder="1" applyAlignment="1" applyProtection="1">
      <alignment horizontal="center" vertical="center" wrapText="1"/>
      <protection locked="0"/>
    </xf>
    <xf numFmtId="0" fontId="0" fillId="3" borderId="16" xfId="0" applyFill="1" applyBorder="1" applyAlignment="1" applyProtection="1">
      <alignment horizontal="center" vertical="center" wrapText="1"/>
      <protection locked="0"/>
    </xf>
  </cellXfs>
  <cellStyles count="1">
    <cellStyle name="Normal" xfId="0" builtinId="0"/>
  </cellStyles>
  <dxfs count="40">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4" name="Picture 3">
          <a:extLst>
            <a:ext uri="{FF2B5EF4-FFF2-40B4-BE49-F238E27FC236}">
              <a16:creationId xmlns:a16="http://schemas.microsoft.com/office/drawing/2014/main" id="{85F63FE2-A38F-61E9-AB9A-92BBDD0088A2}"/>
            </a:ext>
          </a:extLst>
        </xdr:cNvPr>
        <xdr:cNvPicPr>
          <a:picLocks noChangeAspect="1"/>
        </xdr:cNvPicPr>
      </xdr:nvPicPr>
      <xdr:blipFill>
        <a:blip xmlns:r="http://schemas.openxmlformats.org/officeDocument/2006/relationships" r:embed="rId1"/>
        <a:stretch>
          <a:fillRect/>
        </a:stretch>
      </xdr:blipFill>
      <xdr:spPr>
        <a:xfrm>
          <a:off x="66674" y="57151"/>
          <a:ext cx="1678141" cy="723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09D0F562-E900-4911-9C6B-7C45B487A380}"/>
            </a:ext>
          </a:extLst>
        </xdr:cNvPr>
        <xdr:cNvPicPr>
          <a:picLocks noChangeAspect="1"/>
        </xdr:cNvPicPr>
      </xdr:nvPicPr>
      <xdr:blipFill>
        <a:blip xmlns:r="http://schemas.openxmlformats.org/officeDocument/2006/relationships" r:embed="rId1"/>
        <a:stretch>
          <a:fillRect/>
        </a:stretch>
      </xdr:blipFill>
      <xdr:spPr>
        <a:xfrm>
          <a:off x="66674" y="57151"/>
          <a:ext cx="1678141" cy="7238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54ACEB3C-F115-4DDA-B94E-834908732FF0}"/>
            </a:ext>
          </a:extLst>
        </xdr:cNvPr>
        <xdr:cNvPicPr>
          <a:picLocks noChangeAspect="1"/>
        </xdr:cNvPicPr>
      </xdr:nvPicPr>
      <xdr:blipFill>
        <a:blip xmlns:r="http://schemas.openxmlformats.org/officeDocument/2006/relationships" r:embed="rId1"/>
        <a:stretch>
          <a:fillRect/>
        </a:stretch>
      </xdr:blipFill>
      <xdr:spPr>
        <a:xfrm>
          <a:off x="66674" y="57151"/>
          <a:ext cx="1747991" cy="7238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4E9548BF-2D29-4BF7-B350-2C9FE0F9F9FA}"/>
            </a:ext>
          </a:extLst>
        </xdr:cNvPr>
        <xdr:cNvPicPr>
          <a:picLocks noChangeAspect="1"/>
        </xdr:cNvPicPr>
      </xdr:nvPicPr>
      <xdr:blipFill>
        <a:blip xmlns:r="http://schemas.openxmlformats.org/officeDocument/2006/relationships" r:embed="rId1"/>
        <a:stretch>
          <a:fillRect/>
        </a:stretch>
      </xdr:blipFill>
      <xdr:spPr>
        <a:xfrm>
          <a:off x="66674" y="57151"/>
          <a:ext cx="1747991" cy="723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EA10B752-C868-4022-BE1A-614EBED66AE8}"/>
            </a:ext>
          </a:extLst>
        </xdr:cNvPr>
        <xdr:cNvPicPr>
          <a:picLocks noChangeAspect="1"/>
        </xdr:cNvPicPr>
      </xdr:nvPicPr>
      <xdr:blipFill>
        <a:blip xmlns:r="http://schemas.openxmlformats.org/officeDocument/2006/relationships" r:embed="rId1"/>
        <a:stretch>
          <a:fillRect/>
        </a:stretch>
      </xdr:blipFill>
      <xdr:spPr>
        <a:xfrm>
          <a:off x="66674" y="57151"/>
          <a:ext cx="1747991" cy="7238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0CE79-56F6-418E-BA22-32283C74283A}">
  <dimension ref="A1:N68"/>
  <sheetViews>
    <sheetView zoomScaleNormal="100" workbookViewId="0">
      <selection activeCell="Q25" sqref="Q25"/>
    </sheetView>
  </sheetViews>
  <sheetFormatPr baseColWidth="10" defaultColWidth="8.83203125" defaultRowHeight="15" x14ac:dyDescent="0.2"/>
  <cols>
    <col min="1" max="14" width="10.6640625" customWidth="1"/>
  </cols>
  <sheetData>
    <row r="1" spans="1:14" ht="22" x14ac:dyDescent="0.3">
      <c r="A1" s="109"/>
      <c r="B1" s="110"/>
      <c r="C1" s="110"/>
      <c r="D1" s="113" t="s">
        <v>0</v>
      </c>
      <c r="E1" s="114"/>
      <c r="F1" s="114"/>
      <c r="G1" s="114"/>
      <c r="H1" s="114"/>
      <c r="I1" s="114"/>
      <c r="J1" s="114"/>
      <c r="K1" s="115"/>
      <c r="L1" s="4" t="s">
        <v>7</v>
      </c>
      <c r="M1" s="116">
        <v>46084</v>
      </c>
      <c r="N1" s="117"/>
    </row>
    <row r="2" spans="1:14" ht="21" customHeight="1" x14ac:dyDescent="0.3">
      <c r="A2" s="111"/>
      <c r="B2" s="112"/>
      <c r="C2" s="112"/>
      <c r="D2" s="118" t="s">
        <v>67</v>
      </c>
      <c r="E2" s="119"/>
      <c r="F2" s="119"/>
      <c r="G2" s="119"/>
      <c r="H2" s="119"/>
      <c r="I2" s="119"/>
      <c r="J2" s="119"/>
      <c r="K2" s="120"/>
      <c r="L2" s="121" t="s">
        <v>1</v>
      </c>
      <c r="M2" s="122"/>
      <c r="N2" s="15">
        <v>1</v>
      </c>
    </row>
    <row r="3" spans="1:14" ht="24.75" customHeight="1" thickBot="1" x14ac:dyDescent="0.35">
      <c r="A3" s="111"/>
      <c r="B3" s="112"/>
      <c r="C3" s="112"/>
      <c r="D3" s="123" t="s">
        <v>68</v>
      </c>
      <c r="E3" s="124"/>
      <c r="F3" s="124"/>
      <c r="G3" s="124"/>
      <c r="H3" s="124"/>
      <c r="I3" s="124"/>
      <c r="J3" s="124"/>
      <c r="K3" s="125"/>
      <c r="L3" s="126" t="s">
        <v>56</v>
      </c>
      <c r="M3" s="127"/>
      <c r="N3" s="16">
        <v>9</v>
      </c>
    </row>
    <row r="4" spans="1:14" x14ac:dyDescent="0.2">
      <c r="A4" s="140" t="s">
        <v>2</v>
      </c>
      <c r="B4" s="141"/>
      <c r="C4" s="141"/>
      <c r="D4" s="141"/>
      <c r="E4" s="141"/>
      <c r="F4" s="141"/>
      <c r="G4" s="141"/>
      <c r="H4" s="141"/>
      <c r="I4" s="141"/>
      <c r="J4" s="141"/>
      <c r="K4" s="141"/>
      <c r="L4" s="141" t="s">
        <v>62</v>
      </c>
      <c r="M4" s="141"/>
      <c r="N4" s="142"/>
    </row>
    <row r="5" spans="1:14" x14ac:dyDescent="0.2">
      <c r="A5" s="91" t="s">
        <v>3</v>
      </c>
      <c r="B5" s="92"/>
      <c r="C5" s="43" t="s">
        <v>4</v>
      </c>
      <c r="D5" s="43"/>
      <c r="E5" s="43"/>
      <c r="F5" s="46" t="s">
        <v>5</v>
      </c>
      <c r="G5" s="46"/>
      <c r="H5" s="46"/>
      <c r="I5" s="143" t="s">
        <v>71</v>
      </c>
      <c r="J5" s="143"/>
      <c r="K5" s="143"/>
      <c r="L5" s="94" t="s">
        <v>75</v>
      </c>
      <c r="M5" s="94"/>
      <c r="N5" s="139"/>
    </row>
    <row r="6" spans="1:14" x14ac:dyDescent="0.2">
      <c r="A6" s="128" t="s">
        <v>8</v>
      </c>
      <c r="B6" s="129"/>
      <c r="C6" s="130" t="s">
        <v>69</v>
      </c>
      <c r="D6" s="131"/>
      <c r="E6" s="132"/>
      <c r="F6" s="103" t="s">
        <v>6</v>
      </c>
      <c r="G6" s="103"/>
      <c r="H6" s="6" t="s">
        <v>11</v>
      </c>
      <c r="I6" s="94" t="s">
        <v>72</v>
      </c>
      <c r="J6" s="94"/>
      <c r="K6" s="94"/>
      <c r="L6" s="136" t="s">
        <v>76</v>
      </c>
      <c r="M6" s="137"/>
      <c r="N6" s="138"/>
    </row>
    <row r="7" spans="1:14" x14ac:dyDescent="0.2">
      <c r="A7" s="128"/>
      <c r="B7" s="129"/>
      <c r="C7" s="133"/>
      <c r="D7" s="134"/>
      <c r="E7" s="135"/>
      <c r="F7" s="103"/>
      <c r="G7" s="103"/>
      <c r="H7" s="6" t="s">
        <v>12</v>
      </c>
      <c r="I7" s="94" t="s">
        <v>66</v>
      </c>
      <c r="J7" s="94"/>
      <c r="K7" s="94"/>
      <c r="L7" s="94" t="s">
        <v>77</v>
      </c>
      <c r="M7" s="94"/>
      <c r="N7" s="139"/>
    </row>
    <row r="8" spans="1:14" x14ac:dyDescent="0.2">
      <c r="A8" s="102" t="s">
        <v>9</v>
      </c>
      <c r="B8" s="103"/>
      <c r="C8" s="104" t="s">
        <v>70</v>
      </c>
      <c r="D8" s="104"/>
      <c r="E8" s="104"/>
      <c r="F8" s="103" t="s">
        <v>10</v>
      </c>
      <c r="G8" s="103"/>
      <c r="H8" s="2" t="s">
        <v>11</v>
      </c>
      <c r="I8" s="94" t="s">
        <v>73</v>
      </c>
      <c r="J8" s="94"/>
      <c r="K8" s="94"/>
      <c r="L8" s="105" t="s">
        <v>55</v>
      </c>
      <c r="M8" s="106"/>
      <c r="N8" s="107"/>
    </row>
    <row r="9" spans="1:14" x14ac:dyDescent="0.2">
      <c r="A9" s="102"/>
      <c r="B9" s="103"/>
      <c r="C9" s="104"/>
      <c r="D9" s="104"/>
      <c r="E9" s="104"/>
      <c r="F9" s="103"/>
      <c r="G9" s="103"/>
      <c r="H9" s="2" t="s">
        <v>12</v>
      </c>
      <c r="I9" s="94" t="s">
        <v>74</v>
      </c>
      <c r="J9" s="94"/>
      <c r="K9" s="94"/>
      <c r="L9" s="104" t="s">
        <v>78</v>
      </c>
      <c r="M9" s="104"/>
      <c r="N9" s="108"/>
    </row>
    <row r="10" spans="1:14" x14ac:dyDescent="0.2">
      <c r="A10" s="31" t="s">
        <v>31</v>
      </c>
      <c r="B10" s="32"/>
      <c r="C10" s="32"/>
      <c r="D10" s="32"/>
      <c r="E10" s="32"/>
      <c r="F10" s="32"/>
      <c r="G10" s="32"/>
      <c r="H10" s="32"/>
      <c r="I10" s="32"/>
      <c r="J10" s="32"/>
      <c r="K10" s="32"/>
      <c r="L10" s="32"/>
      <c r="M10" s="32"/>
      <c r="N10" s="33"/>
    </row>
    <row r="11" spans="1:14" x14ac:dyDescent="0.2">
      <c r="A11" s="91" t="s">
        <v>13</v>
      </c>
      <c r="B11" s="92"/>
      <c r="C11" s="100" t="s">
        <v>80</v>
      </c>
      <c r="D11" s="94"/>
      <c r="E11" s="92" t="s">
        <v>63</v>
      </c>
      <c r="F11" s="92"/>
      <c r="G11" s="93">
        <v>98.9</v>
      </c>
      <c r="H11" s="93"/>
      <c r="I11" s="93"/>
      <c r="J11" s="46" t="s">
        <v>27</v>
      </c>
      <c r="K11" s="101"/>
      <c r="L11" s="3" t="s">
        <v>28</v>
      </c>
      <c r="M11" s="3" t="s">
        <v>29</v>
      </c>
      <c r="N11" s="5" t="s">
        <v>30</v>
      </c>
    </row>
    <row r="12" spans="1:14" x14ac:dyDescent="0.2">
      <c r="A12" s="91" t="s">
        <v>14</v>
      </c>
      <c r="B12" s="92"/>
      <c r="C12" s="94" t="s">
        <v>79</v>
      </c>
      <c r="D12" s="94"/>
      <c r="E12" s="92" t="s">
        <v>19</v>
      </c>
      <c r="F12" s="92"/>
      <c r="G12" s="93">
        <v>10</v>
      </c>
      <c r="H12" s="93"/>
      <c r="I12" s="93"/>
      <c r="J12" s="92" t="s">
        <v>24</v>
      </c>
      <c r="K12" s="92"/>
      <c r="L12" s="14">
        <v>251</v>
      </c>
      <c r="M12" s="14">
        <v>88.9</v>
      </c>
      <c r="N12" s="9" t="s">
        <v>84</v>
      </c>
    </row>
    <row r="13" spans="1:14" x14ac:dyDescent="0.2">
      <c r="A13" s="91" t="s">
        <v>15</v>
      </c>
      <c r="B13" s="92"/>
      <c r="C13" s="99">
        <v>46075</v>
      </c>
      <c r="D13" s="99"/>
      <c r="E13" s="92" t="s">
        <v>20</v>
      </c>
      <c r="F13" s="92"/>
      <c r="G13" s="94">
        <v>1</v>
      </c>
      <c r="H13" s="94"/>
      <c r="I13" s="94"/>
      <c r="J13" s="92" t="s">
        <v>25</v>
      </c>
      <c r="K13" s="92"/>
      <c r="L13" s="14">
        <v>177.8</v>
      </c>
      <c r="M13" s="14">
        <v>88.9</v>
      </c>
      <c r="N13" s="9" t="s">
        <v>84</v>
      </c>
    </row>
    <row r="14" spans="1:14" x14ac:dyDescent="0.2">
      <c r="A14" s="91" t="s">
        <v>16</v>
      </c>
      <c r="B14" s="92"/>
      <c r="C14" s="93">
        <v>593.79999999999995</v>
      </c>
      <c r="D14" s="93"/>
      <c r="E14" s="92" t="s">
        <v>21</v>
      </c>
      <c r="F14" s="92"/>
      <c r="G14" s="98">
        <f>IF(G13="","",G12/G13)</f>
        <v>10</v>
      </c>
      <c r="H14" s="98"/>
      <c r="I14" s="98"/>
      <c r="J14" s="92" t="s">
        <v>26</v>
      </c>
      <c r="K14" s="92"/>
      <c r="L14" s="14">
        <v>159</v>
      </c>
      <c r="M14" s="14"/>
      <c r="N14" s="9" t="s">
        <v>85</v>
      </c>
    </row>
    <row r="15" spans="1:14" x14ac:dyDescent="0.2">
      <c r="A15" s="91" t="s">
        <v>17</v>
      </c>
      <c r="B15" s="92"/>
      <c r="C15" s="93">
        <v>589.70000000000005</v>
      </c>
      <c r="D15" s="93"/>
      <c r="E15" s="92" t="s">
        <v>22</v>
      </c>
      <c r="F15" s="92"/>
      <c r="G15" s="94" t="s">
        <v>87</v>
      </c>
      <c r="H15" s="94"/>
      <c r="I15" s="94"/>
      <c r="J15" s="92" t="s">
        <v>83</v>
      </c>
      <c r="K15" s="92"/>
      <c r="L15" s="14">
        <v>114.3</v>
      </c>
      <c r="M15" s="14"/>
      <c r="N15" s="9" t="s">
        <v>85</v>
      </c>
    </row>
    <row r="16" spans="1:14" x14ac:dyDescent="0.2">
      <c r="A16" s="91" t="s">
        <v>18</v>
      </c>
      <c r="B16" s="92"/>
      <c r="C16" s="93">
        <f>IF(C$15="","",C$14-C$15)</f>
        <v>4.0999999999999091</v>
      </c>
      <c r="D16" s="93"/>
      <c r="E16" s="92" t="s">
        <v>23</v>
      </c>
      <c r="F16" s="92"/>
      <c r="G16" s="94" t="s">
        <v>44</v>
      </c>
      <c r="H16" s="94"/>
      <c r="I16" s="94"/>
      <c r="J16" s="92"/>
      <c r="K16" s="92"/>
      <c r="L16" s="14"/>
      <c r="M16" s="14"/>
      <c r="N16" s="9"/>
    </row>
    <row r="17" spans="1:14" ht="16" thickBot="1" x14ac:dyDescent="0.25">
      <c r="A17" s="95" t="s">
        <v>57</v>
      </c>
      <c r="B17" s="96"/>
      <c r="C17" s="96"/>
      <c r="D17" s="96"/>
      <c r="E17" s="96"/>
      <c r="F17" s="96"/>
      <c r="G17" s="96"/>
      <c r="H17" s="96"/>
      <c r="I17" s="96"/>
      <c r="J17" s="96"/>
      <c r="K17" s="96"/>
      <c r="L17" s="96"/>
      <c r="M17" s="96"/>
      <c r="N17" s="97"/>
    </row>
    <row r="18" spans="1:14" ht="16" thickBot="1" x14ac:dyDescent="0.25">
      <c r="A18" s="76" t="s">
        <v>88</v>
      </c>
      <c r="B18" s="77"/>
      <c r="C18" s="77"/>
      <c r="D18" s="77"/>
      <c r="E18" s="77"/>
      <c r="F18" s="77"/>
      <c r="G18" s="77"/>
      <c r="H18" s="77"/>
      <c r="I18" s="77"/>
      <c r="J18" s="77"/>
      <c r="K18" s="77"/>
      <c r="L18" s="77"/>
      <c r="M18" s="77"/>
      <c r="N18" s="78"/>
    </row>
    <row r="19" spans="1:14" ht="16" thickBot="1" x14ac:dyDescent="0.25">
      <c r="A19" s="79" t="s">
        <v>32</v>
      </c>
      <c r="B19" s="80"/>
      <c r="C19" s="80"/>
      <c r="D19" s="80"/>
      <c r="E19" s="80"/>
      <c r="F19" s="80"/>
      <c r="G19" s="80"/>
      <c r="H19" s="80"/>
      <c r="I19" s="80"/>
      <c r="J19" s="80"/>
      <c r="K19" s="80"/>
      <c r="L19" s="80"/>
      <c r="M19" s="80"/>
      <c r="N19" s="81"/>
    </row>
    <row r="20" spans="1:14" x14ac:dyDescent="0.2">
      <c r="A20" s="82" t="s">
        <v>86</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ht="8.25" customHeight="1" thickBot="1" x14ac:dyDescent="0.25">
      <c r="A22" s="85"/>
      <c r="B22" s="86"/>
      <c r="C22" s="86"/>
      <c r="D22" s="86"/>
      <c r="E22" s="86"/>
      <c r="F22" s="86"/>
      <c r="G22" s="86"/>
      <c r="H22" s="86"/>
      <c r="I22" s="86"/>
      <c r="J22" s="86"/>
      <c r="K22" s="86"/>
      <c r="L22" s="86"/>
      <c r="M22" s="86"/>
      <c r="N22" s="87"/>
    </row>
    <row r="23" spans="1:14" ht="16" hidden="1" thickBot="1" x14ac:dyDescent="0.25">
      <c r="A23" s="85"/>
      <c r="B23" s="86"/>
      <c r="C23" s="86"/>
      <c r="D23" s="86"/>
      <c r="E23" s="86"/>
      <c r="F23" s="86"/>
      <c r="G23" s="86"/>
      <c r="H23" s="86"/>
      <c r="I23" s="86"/>
      <c r="J23" s="86"/>
      <c r="K23" s="86"/>
      <c r="L23" s="86"/>
      <c r="M23" s="86"/>
      <c r="N23" s="87"/>
    </row>
    <row r="24" spans="1:14" ht="16" hidden="1" thickBot="1" x14ac:dyDescent="0.25">
      <c r="A24" s="88"/>
      <c r="B24" s="89"/>
      <c r="C24" s="89"/>
      <c r="D24" s="89"/>
      <c r="E24" s="89"/>
      <c r="F24" s="89"/>
      <c r="G24" s="89"/>
      <c r="H24" s="89"/>
      <c r="I24" s="89"/>
      <c r="J24" s="89"/>
      <c r="K24" s="89"/>
      <c r="L24" s="89"/>
      <c r="M24" s="89"/>
      <c r="N24" s="90"/>
    </row>
    <row r="25" spans="1:14" ht="16" thickBot="1" x14ac:dyDescent="0.25">
      <c r="A25" s="79" t="s">
        <v>33</v>
      </c>
      <c r="B25" s="80"/>
      <c r="C25" s="80"/>
      <c r="D25" s="80"/>
      <c r="E25" s="80"/>
      <c r="F25" s="80"/>
      <c r="G25" s="80"/>
      <c r="H25" s="80"/>
      <c r="I25" s="80"/>
      <c r="J25" s="80"/>
      <c r="K25" s="80"/>
      <c r="L25" s="80"/>
      <c r="M25" s="80"/>
      <c r="N25" s="81"/>
    </row>
    <row r="26" spans="1:14" x14ac:dyDescent="0.2">
      <c r="A26" s="82" t="s">
        <v>89</v>
      </c>
      <c r="B26" s="83"/>
      <c r="C26" s="83"/>
      <c r="D26" s="83"/>
      <c r="E26" s="83"/>
      <c r="F26" s="83"/>
      <c r="G26" s="83"/>
      <c r="H26" s="83"/>
      <c r="I26" s="83"/>
      <c r="J26" s="83"/>
      <c r="K26" s="83"/>
      <c r="L26" s="83"/>
      <c r="M26" s="83"/>
      <c r="N26" s="84"/>
    </row>
    <row r="27" spans="1:14" ht="15" customHeight="1" thickBot="1" x14ac:dyDescent="0.25">
      <c r="A27" s="85"/>
      <c r="B27" s="86"/>
      <c r="C27" s="86"/>
      <c r="D27" s="86"/>
      <c r="E27" s="86"/>
      <c r="F27" s="86"/>
      <c r="G27" s="86"/>
      <c r="H27" s="86"/>
      <c r="I27" s="86"/>
      <c r="J27" s="86"/>
      <c r="K27" s="86"/>
      <c r="L27" s="86"/>
      <c r="M27" s="86"/>
      <c r="N27" s="87"/>
    </row>
    <row r="28" spans="1:14" ht="16" hidden="1" thickBot="1" x14ac:dyDescent="0.25">
      <c r="A28" s="85"/>
      <c r="B28" s="86"/>
      <c r="C28" s="86"/>
      <c r="D28" s="86"/>
      <c r="E28" s="86"/>
      <c r="F28" s="86"/>
      <c r="G28" s="86"/>
      <c r="H28" s="86"/>
      <c r="I28" s="86"/>
      <c r="J28" s="86"/>
      <c r="K28" s="86"/>
      <c r="L28" s="86"/>
      <c r="M28" s="86"/>
      <c r="N28" s="87"/>
    </row>
    <row r="29" spans="1:14" ht="16" hidden="1" thickBot="1" x14ac:dyDescent="0.25">
      <c r="A29" s="85"/>
      <c r="B29" s="86"/>
      <c r="C29" s="86"/>
      <c r="D29" s="86"/>
      <c r="E29" s="86"/>
      <c r="F29" s="86"/>
      <c r="G29" s="86"/>
      <c r="H29" s="86"/>
      <c r="I29" s="86"/>
      <c r="J29" s="86"/>
      <c r="K29" s="86"/>
      <c r="L29" s="86"/>
      <c r="M29" s="86"/>
      <c r="N29" s="87"/>
    </row>
    <row r="30" spans="1:14" ht="16" hidden="1" thickBot="1" x14ac:dyDescent="0.25">
      <c r="A30" s="88"/>
      <c r="B30" s="89"/>
      <c r="C30" s="89"/>
      <c r="D30" s="89"/>
      <c r="E30" s="89"/>
      <c r="F30" s="89"/>
      <c r="G30" s="89"/>
      <c r="H30" s="89"/>
      <c r="I30" s="89"/>
      <c r="J30" s="89"/>
      <c r="K30" s="89"/>
      <c r="L30" s="89"/>
      <c r="M30" s="89"/>
      <c r="N30" s="90"/>
    </row>
    <row r="31" spans="1:14" ht="16" thickBot="1" x14ac:dyDescent="0.25">
      <c r="A31" s="79" t="s">
        <v>34</v>
      </c>
      <c r="B31" s="80"/>
      <c r="C31" s="80"/>
      <c r="D31" s="80"/>
      <c r="E31" s="80"/>
      <c r="F31" s="80"/>
      <c r="G31" s="80"/>
      <c r="H31" s="80"/>
      <c r="I31" s="80"/>
      <c r="J31" s="80"/>
      <c r="K31" s="81"/>
      <c r="L31" s="79" t="s">
        <v>58</v>
      </c>
      <c r="M31" s="80"/>
      <c r="N31" s="81"/>
    </row>
    <row r="32" spans="1:14" x14ac:dyDescent="0.2">
      <c r="A32" s="58" t="s">
        <v>47</v>
      </c>
      <c r="B32" s="59"/>
      <c r="C32" s="60"/>
      <c r="D32" s="64" t="s">
        <v>40</v>
      </c>
      <c r="E32" s="64"/>
      <c r="F32" s="64"/>
      <c r="G32" s="65" t="s">
        <v>43</v>
      </c>
      <c r="H32" s="66"/>
      <c r="I32" s="66"/>
      <c r="J32" s="66"/>
      <c r="K32" s="67"/>
      <c r="L32" s="68" t="s">
        <v>64</v>
      </c>
      <c r="M32" s="70" t="s">
        <v>61</v>
      </c>
      <c r="N32" s="72" t="s">
        <v>59</v>
      </c>
    </row>
    <row r="33" spans="1:14" x14ac:dyDescent="0.2">
      <c r="A33" s="61"/>
      <c r="B33" s="62"/>
      <c r="C33" s="63"/>
      <c r="D33" s="3" t="s">
        <v>42</v>
      </c>
      <c r="E33" s="3" t="s">
        <v>45</v>
      </c>
      <c r="F33" s="3" t="s">
        <v>65</v>
      </c>
      <c r="G33" s="3" t="s">
        <v>42</v>
      </c>
      <c r="H33" s="3" t="s">
        <v>41</v>
      </c>
      <c r="I33" s="3" t="s">
        <v>65</v>
      </c>
      <c r="J33" s="74" t="s">
        <v>46</v>
      </c>
      <c r="K33" s="75"/>
      <c r="L33" s="69"/>
      <c r="M33" s="71"/>
      <c r="N33" s="73"/>
    </row>
    <row r="34" spans="1:14" x14ac:dyDescent="0.2">
      <c r="A34" s="48" t="s">
        <v>25</v>
      </c>
      <c r="B34" s="49"/>
      <c r="C34" s="50"/>
      <c r="D34" s="17">
        <v>85.799999999999955</v>
      </c>
      <c r="E34" s="18">
        <f>IF(F34="","",C$14-F34)</f>
        <v>85.799999999999955</v>
      </c>
      <c r="F34" s="17">
        <v>508</v>
      </c>
      <c r="G34" s="14">
        <v>88.9</v>
      </c>
      <c r="H34" s="14">
        <v>88.9</v>
      </c>
      <c r="I34" s="18">
        <f>IF(H34="","",C$14-H34)</f>
        <v>504.9</v>
      </c>
      <c r="J34" s="51">
        <f>IF(OR(H34="",F34=""),"",E34-H34)</f>
        <v>-3.1000000000000512</v>
      </c>
      <c r="K34" s="52"/>
      <c r="L34" s="10"/>
      <c r="M34" s="7"/>
      <c r="N34" s="11"/>
    </row>
    <row r="35" spans="1:14" x14ac:dyDescent="0.2">
      <c r="A35" s="48" t="s">
        <v>81</v>
      </c>
      <c r="B35" s="49"/>
      <c r="C35" s="50"/>
      <c r="D35" s="17">
        <v>85.799999999999955</v>
      </c>
      <c r="E35" s="18">
        <f t="shared" ref="E35:E42" si="0">IF(F35="","",C$14-F35)</f>
        <v>85.799999999999955</v>
      </c>
      <c r="F35" s="17">
        <v>508</v>
      </c>
      <c r="G35" s="14">
        <v>98.9</v>
      </c>
      <c r="H35" s="14">
        <v>98.9</v>
      </c>
      <c r="I35" s="18">
        <f t="shared" ref="I35:I42" si="1">IF(H35="","",C$14-H35)</f>
        <v>494.9</v>
      </c>
      <c r="J35" s="51">
        <f t="shared" ref="J35:J42" si="2">IF(OR(H35="",F35=""),"",E35-H35)</f>
        <v>-13.100000000000051</v>
      </c>
      <c r="K35" s="52"/>
      <c r="L35" s="10"/>
      <c r="M35" s="7"/>
      <c r="N35" s="11"/>
    </row>
    <row r="36" spans="1:14" x14ac:dyDescent="0.2">
      <c r="A36" s="48" t="s">
        <v>35</v>
      </c>
      <c r="B36" s="49"/>
      <c r="C36" s="50"/>
      <c r="D36" s="17">
        <v>187.09999999999997</v>
      </c>
      <c r="E36" s="18">
        <f t="shared" si="0"/>
        <v>187.09999999999997</v>
      </c>
      <c r="F36" s="17">
        <v>406.7</v>
      </c>
      <c r="G36" s="14"/>
      <c r="H36" s="14"/>
      <c r="I36" s="18" t="str">
        <f t="shared" si="1"/>
        <v/>
      </c>
      <c r="J36" s="51" t="str">
        <f t="shared" si="2"/>
        <v/>
      </c>
      <c r="K36" s="52"/>
      <c r="L36" s="10"/>
      <c r="M36" s="7"/>
      <c r="N36" s="11"/>
    </row>
    <row r="37" spans="1:14" x14ac:dyDescent="0.2">
      <c r="A37" s="48" t="s">
        <v>36</v>
      </c>
      <c r="B37" s="49"/>
      <c r="C37" s="50"/>
      <c r="D37" s="17">
        <v>187.09999999999997</v>
      </c>
      <c r="E37" s="18">
        <f t="shared" si="0"/>
        <v>187.09999999999997</v>
      </c>
      <c r="F37" s="17">
        <v>406.7</v>
      </c>
      <c r="G37" s="14"/>
      <c r="H37" s="14"/>
      <c r="I37" s="18" t="str">
        <f t="shared" si="1"/>
        <v/>
      </c>
      <c r="J37" s="51" t="str">
        <f t="shared" si="2"/>
        <v/>
      </c>
      <c r="K37" s="52"/>
      <c r="L37" s="10"/>
      <c r="M37" s="7"/>
      <c r="N37" s="11"/>
    </row>
    <row r="38" spans="1:14" x14ac:dyDescent="0.2">
      <c r="A38" s="48" t="s">
        <v>82</v>
      </c>
      <c r="B38" s="49"/>
      <c r="C38" s="50"/>
      <c r="D38" s="17">
        <v>242.19999999999993</v>
      </c>
      <c r="E38" s="18">
        <f t="shared" si="0"/>
        <v>242.19999999999993</v>
      </c>
      <c r="F38" s="17">
        <v>351.6</v>
      </c>
      <c r="G38" s="14"/>
      <c r="H38" s="14"/>
      <c r="I38" s="18" t="str">
        <f t="shared" si="1"/>
        <v/>
      </c>
      <c r="J38" s="51" t="str">
        <f t="shared" si="2"/>
        <v/>
      </c>
      <c r="K38" s="52"/>
      <c r="L38" s="10"/>
      <c r="M38" s="7"/>
      <c r="N38" s="11"/>
    </row>
    <row r="39" spans="1:14" x14ac:dyDescent="0.2">
      <c r="A39" s="48" t="s">
        <v>37</v>
      </c>
      <c r="B39" s="49"/>
      <c r="C39" s="50"/>
      <c r="D39" s="17">
        <v>244.29999999999995</v>
      </c>
      <c r="E39" s="18">
        <f t="shared" si="0"/>
        <v>244.29999999999995</v>
      </c>
      <c r="F39" s="17">
        <v>349.5</v>
      </c>
      <c r="G39" s="14"/>
      <c r="H39" s="14"/>
      <c r="I39" s="18" t="str">
        <f t="shared" si="1"/>
        <v/>
      </c>
      <c r="J39" s="51" t="str">
        <f t="shared" si="2"/>
        <v/>
      </c>
      <c r="K39" s="52"/>
      <c r="L39" s="10"/>
      <c r="M39" s="7"/>
      <c r="N39" s="11"/>
    </row>
    <row r="40" spans="1:14" x14ac:dyDescent="0.2">
      <c r="A40" s="48" t="s">
        <v>44</v>
      </c>
      <c r="B40" s="49"/>
      <c r="C40" s="50"/>
      <c r="D40" s="17">
        <v>247.19999999999993</v>
      </c>
      <c r="E40" s="18">
        <f t="shared" si="0"/>
        <v>247.19999999999993</v>
      </c>
      <c r="F40" s="17">
        <v>346.6</v>
      </c>
      <c r="G40" s="14"/>
      <c r="H40" s="14"/>
      <c r="I40" s="18" t="str">
        <f t="shared" si="1"/>
        <v/>
      </c>
      <c r="J40" s="51" t="str">
        <f t="shared" si="2"/>
        <v/>
      </c>
      <c r="K40" s="52"/>
      <c r="L40" s="10"/>
      <c r="M40" s="7"/>
      <c r="N40" s="11"/>
    </row>
    <row r="41" spans="1:14" x14ac:dyDescent="0.2">
      <c r="A41" s="48" t="s">
        <v>38</v>
      </c>
      <c r="B41" s="49"/>
      <c r="C41" s="50"/>
      <c r="D41" s="17">
        <v>324.19999999999993</v>
      </c>
      <c r="E41" s="18">
        <f t="shared" si="0"/>
        <v>324.19999999999993</v>
      </c>
      <c r="F41" s="17">
        <v>269.60000000000002</v>
      </c>
      <c r="G41" s="14"/>
      <c r="H41" s="14"/>
      <c r="I41" s="18" t="str">
        <f t="shared" si="1"/>
        <v/>
      </c>
      <c r="J41" s="51" t="str">
        <f t="shared" si="2"/>
        <v/>
      </c>
      <c r="K41" s="52"/>
      <c r="L41" s="10"/>
      <c r="M41" s="7"/>
      <c r="N41" s="11"/>
    </row>
    <row r="42" spans="1:14" ht="16" thickBot="1" x14ac:dyDescent="0.25">
      <c r="A42" s="53" t="s">
        <v>39</v>
      </c>
      <c r="B42" s="54"/>
      <c r="C42" s="55"/>
      <c r="D42" s="19">
        <v>337.19999999999993</v>
      </c>
      <c r="E42" s="20">
        <f t="shared" si="0"/>
        <v>337.19999999999993</v>
      </c>
      <c r="F42" s="19">
        <v>256.60000000000002</v>
      </c>
      <c r="G42" s="21"/>
      <c r="H42" s="21"/>
      <c r="I42" s="20" t="str">
        <f t="shared" si="1"/>
        <v/>
      </c>
      <c r="J42" s="56" t="str">
        <f t="shared" si="2"/>
        <v/>
      </c>
      <c r="K42" s="57"/>
      <c r="L42" s="12"/>
      <c r="M42" s="8"/>
      <c r="N42" s="13"/>
    </row>
    <row r="43" spans="1:14" x14ac:dyDescent="0.2">
      <c r="A43" s="31" t="s">
        <v>48</v>
      </c>
      <c r="B43" s="32"/>
      <c r="C43" s="32"/>
      <c r="D43" s="32"/>
      <c r="E43" s="32"/>
      <c r="F43" s="32"/>
      <c r="G43" s="32"/>
      <c r="H43" s="32"/>
      <c r="I43" s="32"/>
      <c r="J43" s="32"/>
      <c r="K43" s="32"/>
      <c r="L43" s="32"/>
      <c r="M43" s="32"/>
      <c r="N43" s="33"/>
    </row>
    <row r="44" spans="1:14" x14ac:dyDescent="0.2">
      <c r="A44" s="45" t="s">
        <v>49</v>
      </c>
      <c r="B44" s="46"/>
      <c r="C44" s="46"/>
      <c r="D44" s="46" t="s">
        <v>50</v>
      </c>
      <c r="E44" s="46"/>
      <c r="F44" s="46"/>
      <c r="G44" s="46" t="s">
        <v>51</v>
      </c>
      <c r="H44" s="46"/>
      <c r="I44" s="46" t="s">
        <v>60</v>
      </c>
      <c r="J44" s="46"/>
      <c r="K44" s="46" t="s">
        <v>52</v>
      </c>
      <c r="L44" s="46"/>
      <c r="M44" s="46" t="s">
        <v>53</v>
      </c>
      <c r="N44" s="47"/>
    </row>
    <row r="45" spans="1:14" x14ac:dyDescent="0.2">
      <c r="A45" s="40"/>
      <c r="B45" s="41"/>
      <c r="C45" s="41"/>
      <c r="D45" s="41"/>
      <c r="E45" s="41"/>
      <c r="F45" s="41"/>
      <c r="G45" s="42" t="str">
        <f>IF(D45="","",(D45/A45))</f>
        <v/>
      </c>
      <c r="H45" s="42"/>
      <c r="I45" s="41"/>
      <c r="J45" s="41"/>
      <c r="K45" s="43"/>
      <c r="L45" s="43"/>
      <c r="M45" s="43"/>
      <c r="N45" s="44"/>
    </row>
    <row r="46" spans="1:14" x14ac:dyDescent="0.2">
      <c r="A46" s="31" t="s">
        <v>54</v>
      </c>
      <c r="B46" s="32"/>
      <c r="C46" s="32"/>
      <c r="D46" s="32"/>
      <c r="E46" s="32"/>
      <c r="F46" s="32"/>
      <c r="G46" s="32"/>
      <c r="H46" s="32"/>
      <c r="I46" s="32"/>
      <c r="J46" s="32"/>
      <c r="K46" s="32"/>
      <c r="L46" s="32"/>
      <c r="M46" s="32"/>
      <c r="N46" s="33"/>
    </row>
    <row r="47" spans="1:14" x14ac:dyDescent="0.2">
      <c r="A47" s="34"/>
      <c r="B47" s="35"/>
      <c r="C47" s="35"/>
      <c r="D47" s="35"/>
      <c r="E47" s="35"/>
      <c r="F47" s="35"/>
      <c r="G47" s="35"/>
      <c r="H47" s="35"/>
      <c r="I47" s="35"/>
      <c r="J47" s="35"/>
      <c r="K47" s="35"/>
      <c r="L47" s="35"/>
      <c r="M47" s="35"/>
      <c r="N47" s="36"/>
    </row>
    <row r="48" spans="1:14" x14ac:dyDescent="0.2">
      <c r="A48" s="34"/>
      <c r="B48" s="35"/>
      <c r="C48" s="35"/>
      <c r="D48" s="35"/>
      <c r="E48" s="35"/>
      <c r="F48" s="35"/>
      <c r="G48" s="35"/>
      <c r="H48" s="35"/>
      <c r="I48" s="35"/>
      <c r="J48" s="35"/>
      <c r="K48" s="35"/>
      <c r="L48" s="35"/>
      <c r="M48" s="35"/>
      <c r="N48" s="36"/>
    </row>
    <row r="49" spans="1:14" x14ac:dyDescent="0.2">
      <c r="A49" s="34"/>
      <c r="B49" s="35"/>
      <c r="C49" s="35"/>
      <c r="D49" s="35"/>
      <c r="E49" s="35"/>
      <c r="F49" s="35"/>
      <c r="G49" s="35"/>
      <c r="H49" s="35"/>
      <c r="I49" s="35"/>
      <c r="J49" s="35"/>
      <c r="K49" s="35"/>
      <c r="L49" s="35"/>
      <c r="M49" s="35"/>
      <c r="N49" s="36"/>
    </row>
    <row r="50" spans="1:14" x14ac:dyDescent="0.2">
      <c r="A50" s="34"/>
      <c r="B50" s="35"/>
      <c r="C50" s="35"/>
      <c r="D50" s="35"/>
      <c r="E50" s="35"/>
      <c r="F50" s="35"/>
      <c r="G50" s="35"/>
      <c r="H50" s="35"/>
      <c r="I50" s="35"/>
      <c r="J50" s="35"/>
      <c r="K50" s="35"/>
      <c r="L50" s="35"/>
      <c r="M50" s="35"/>
      <c r="N50" s="36"/>
    </row>
    <row r="51" spans="1:14" x14ac:dyDescent="0.2">
      <c r="A51" s="34"/>
      <c r="B51" s="35"/>
      <c r="C51" s="35"/>
      <c r="D51" s="35"/>
      <c r="E51" s="35"/>
      <c r="F51" s="35"/>
      <c r="G51" s="35"/>
      <c r="H51" s="35"/>
      <c r="I51" s="35"/>
      <c r="J51" s="35"/>
      <c r="K51" s="35"/>
      <c r="L51" s="35"/>
      <c r="M51" s="35"/>
      <c r="N51" s="36"/>
    </row>
    <row r="52" spans="1:14" x14ac:dyDescent="0.2">
      <c r="A52" s="34"/>
      <c r="B52" s="35"/>
      <c r="C52" s="35"/>
      <c r="D52" s="35"/>
      <c r="E52" s="35"/>
      <c r="F52" s="35"/>
      <c r="G52" s="35"/>
      <c r="H52" s="35"/>
      <c r="I52" s="35"/>
      <c r="J52" s="35"/>
      <c r="K52" s="35"/>
      <c r="L52" s="35"/>
      <c r="M52" s="35"/>
      <c r="N52" s="36"/>
    </row>
    <row r="53" spans="1:14" x14ac:dyDescent="0.2">
      <c r="A53" s="34"/>
      <c r="B53" s="35"/>
      <c r="C53" s="35"/>
      <c r="D53" s="35"/>
      <c r="E53" s="35"/>
      <c r="F53" s="35"/>
      <c r="G53" s="35"/>
      <c r="H53" s="35"/>
      <c r="I53" s="35"/>
      <c r="J53" s="35"/>
      <c r="K53" s="35"/>
      <c r="L53" s="35"/>
      <c r="M53" s="35"/>
      <c r="N53" s="36"/>
    </row>
    <row r="54" spans="1:14" x14ac:dyDescent="0.2">
      <c r="A54" s="34"/>
      <c r="B54" s="35"/>
      <c r="C54" s="35"/>
      <c r="D54" s="35"/>
      <c r="E54" s="35"/>
      <c r="F54" s="35"/>
      <c r="G54" s="35"/>
      <c r="H54" s="35"/>
      <c r="I54" s="35"/>
      <c r="J54" s="35"/>
      <c r="K54" s="35"/>
      <c r="L54" s="35"/>
      <c r="M54" s="35"/>
      <c r="N54" s="36"/>
    </row>
    <row r="55" spans="1:14" x14ac:dyDescent="0.2">
      <c r="A55" s="34"/>
      <c r="B55" s="35"/>
      <c r="C55" s="35"/>
      <c r="D55" s="35"/>
      <c r="E55" s="35"/>
      <c r="F55" s="35"/>
      <c r="G55" s="35"/>
      <c r="H55" s="35"/>
      <c r="I55" s="35"/>
      <c r="J55" s="35"/>
      <c r="K55" s="35"/>
      <c r="L55" s="35"/>
      <c r="M55" s="35"/>
      <c r="N55" s="36"/>
    </row>
    <row r="56" spans="1:14" x14ac:dyDescent="0.2">
      <c r="A56" s="34"/>
      <c r="B56" s="35"/>
      <c r="C56" s="35"/>
      <c r="D56" s="35"/>
      <c r="E56" s="35"/>
      <c r="F56" s="35"/>
      <c r="G56" s="35"/>
      <c r="H56" s="35"/>
      <c r="I56" s="35"/>
      <c r="J56" s="35"/>
      <c r="K56" s="35"/>
      <c r="L56" s="35"/>
      <c r="M56" s="35"/>
      <c r="N56" s="36"/>
    </row>
    <row r="57" spans="1:14" x14ac:dyDescent="0.2">
      <c r="A57" s="34"/>
      <c r="B57" s="35"/>
      <c r="C57" s="35"/>
      <c r="D57" s="35"/>
      <c r="E57" s="35"/>
      <c r="F57" s="35"/>
      <c r="G57" s="35"/>
      <c r="H57" s="35"/>
      <c r="I57" s="35"/>
      <c r="J57" s="35"/>
      <c r="K57" s="35"/>
      <c r="L57" s="35"/>
      <c r="M57" s="35"/>
      <c r="N57" s="36"/>
    </row>
    <row r="58" spans="1:14" x14ac:dyDescent="0.2">
      <c r="A58" s="34"/>
      <c r="B58" s="35"/>
      <c r="C58" s="35"/>
      <c r="D58" s="35"/>
      <c r="E58" s="35"/>
      <c r="F58" s="35"/>
      <c r="G58" s="35"/>
      <c r="H58" s="35"/>
      <c r="I58" s="35"/>
      <c r="J58" s="35"/>
      <c r="K58" s="35"/>
      <c r="L58" s="35"/>
      <c r="M58" s="35"/>
      <c r="N58" s="36"/>
    </row>
    <row r="59" spans="1:14" x14ac:dyDescent="0.2">
      <c r="A59" s="34"/>
      <c r="B59" s="35"/>
      <c r="C59" s="35"/>
      <c r="D59" s="35"/>
      <c r="E59" s="35"/>
      <c r="F59" s="35"/>
      <c r="G59" s="35"/>
      <c r="H59" s="35"/>
      <c r="I59" s="35"/>
      <c r="J59" s="35"/>
      <c r="K59" s="35"/>
      <c r="L59" s="35"/>
      <c r="M59" s="35"/>
      <c r="N59" s="36"/>
    </row>
    <row r="60" spans="1:14" x14ac:dyDescent="0.2">
      <c r="A60" s="34"/>
      <c r="B60" s="35"/>
      <c r="C60" s="35"/>
      <c r="D60" s="35"/>
      <c r="E60" s="35"/>
      <c r="F60" s="35"/>
      <c r="G60" s="35"/>
      <c r="H60" s="35"/>
      <c r="I60" s="35"/>
      <c r="J60" s="35"/>
      <c r="K60" s="35"/>
      <c r="L60" s="35"/>
      <c r="M60" s="35"/>
      <c r="N60" s="36"/>
    </row>
    <row r="61" spans="1:14" x14ac:dyDescent="0.2">
      <c r="A61" s="34"/>
      <c r="B61" s="35"/>
      <c r="C61" s="35"/>
      <c r="D61" s="35"/>
      <c r="E61" s="35"/>
      <c r="F61" s="35"/>
      <c r="G61" s="35"/>
      <c r="H61" s="35"/>
      <c r="I61" s="35"/>
      <c r="J61" s="35"/>
      <c r="K61" s="35"/>
      <c r="L61" s="35"/>
      <c r="M61" s="35"/>
      <c r="N61" s="36"/>
    </row>
    <row r="62" spans="1:14" x14ac:dyDescent="0.2">
      <c r="A62" s="34"/>
      <c r="B62" s="35"/>
      <c r="C62" s="35"/>
      <c r="D62" s="35"/>
      <c r="E62" s="35"/>
      <c r="F62" s="35"/>
      <c r="G62" s="35"/>
      <c r="H62" s="35"/>
      <c r="I62" s="35"/>
      <c r="J62" s="35"/>
      <c r="K62" s="35"/>
      <c r="L62" s="35"/>
      <c r="M62" s="35"/>
      <c r="N62" s="36"/>
    </row>
    <row r="63" spans="1:14" x14ac:dyDescent="0.2">
      <c r="A63" s="34"/>
      <c r="B63" s="35"/>
      <c r="C63" s="35"/>
      <c r="D63" s="35"/>
      <c r="E63" s="35"/>
      <c r="F63" s="35"/>
      <c r="G63" s="35"/>
      <c r="H63" s="35"/>
      <c r="I63" s="35"/>
      <c r="J63" s="35"/>
      <c r="K63" s="35"/>
      <c r="L63" s="35"/>
      <c r="M63" s="35"/>
      <c r="N63" s="36"/>
    </row>
    <row r="64" spans="1:14" x14ac:dyDescent="0.2">
      <c r="A64" s="34"/>
      <c r="B64" s="35"/>
      <c r="C64" s="35"/>
      <c r="D64" s="35"/>
      <c r="E64" s="35"/>
      <c r="F64" s="35"/>
      <c r="G64" s="35"/>
      <c r="H64" s="35"/>
      <c r="I64" s="35"/>
      <c r="J64" s="35"/>
      <c r="K64" s="35"/>
      <c r="L64" s="35"/>
      <c r="M64" s="35"/>
      <c r="N64" s="36"/>
    </row>
    <row r="65" spans="1:14" x14ac:dyDescent="0.2">
      <c r="A65" s="34"/>
      <c r="B65" s="35"/>
      <c r="C65" s="35"/>
      <c r="D65" s="35"/>
      <c r="E65" s="35"/>
      <c r="F65" s="35"/>
      <c r="G65" s="35"/>
      <c r="H65" s="35"/>
      <c r="I65" s="35"/>
      <c r="J65" s="35"/>
      <c r="K65" s="35"/>
      <c r="L65" s="35"/>
      <c r="M65" s="35"/>
      <c r="N65" s="36"/>
    </row>
    <row r="66" spans="1:14" x14ac:dyDescent="0.2">
      <c r="A66" s="34"/>
      <c r="B66" s="35"/>
      <c r="C66" s="35"/>
      <c r="D66" s="35"/>
      <c r="E66" s="35"/>
      <c r="F66" s="35"/>
      <c r="G66" s="35"/>
      <c r="H66" s="35"/>
      <c r="I66" s="35"/>
      <c r="J66" s="35"/>
      <c r="K66" s="35"/>
      <c r="L66" s="35"/>
      <c r="M66" s="35"/>
      <c r="N66" s="36"/>
    </row>
    <row r="67" spans="1:14" ht="16" thickBot="1" x14ac:dyDescent="0.25">
      <c r="A67" s="37"/>
      <c r="B67" s="38"/>
      <c r="C67" s="38"/>
      <c r="D67" s="38"/>
      <c r="E67" s="38"/>
      <c r="F67" s="38"/>
      <c r="G67" s="38"/>
      <c r="H67" s="38"/>
      <c r="I67" s="38"/>
      <c r="J67" s="38"/>
      <c r="K67" s="38"/>
      <c r="L67" s="38"/>
      <c r="M67" s="38"/>
      <c r="N67" s="39"/>
    </row>
    <row r="68" spans="1:14" x14ac:dyDescent="0.2">
      <c r="A68" s="1"/>
      <c r="B68" s="1"/>
      <c r="C68" s="1"/>
      <c r="D68" s="1"/>
      <c r="E68" s="1"/>
      <c r="F68" s="1"/>
      <c r="G68" s="1"/>
      <c r="H68" s="1"/>
      <c r="I68" s="1"/>
      <c r="J68" s="1"/>
      <c r="K68" s="1"/>
      <c r="L68" s="1"/>
      <c r="M68" s="1"/>
      <c r="N68" s="1"/>
    </row>
  </sheetData>
  <sheetProtection formatCells="0" formatColumns="0" formatRows="0" insertColumns="0" insertRows="0" insertHyperlinks="0" deleteColumns="0" deleteRows="0" sort="0" autoFilter="0" pivotTables="0"/>
  <mergeCells count="107">
    <mergeCell ref="A11:B11"/>
    <mergeCell ref="A12:B12"/>
    <mergeCell ref="A13:B13"/>
    <mergeCell ref="A14:B14"/>
    <mergeCell ref="A15:B15"/>
    <mergeCell ref="A16:B16"/>
    <mergeCell ref="I8:K8"/>
    <mergeCell ref="F8:G9"/>
    <mergeCell ref="I9:K9"/>
    <mergeCell ref="A10:N10"/>
    <mergeCell ref="A8:B9"/>
    <mergeCell ref="C8:E9"/>
    <mergeCell ref="E11:F11"/>
    <mergeCell ref="E12:F12"/>
    <mergeCell ref="C15:D15"/>
    <mergeCell ref="C16:D16"/>
    <mergeCell ref="A5:B5"/>
    <mergeCell ref="A6:B7"/>
    <mergeCell ref="C5:E5"/>
    <mergeCell ref="F6:G7"/>
    <mergeCell ref="A1:C3"/>
    <mergeCell ref="D1:K1"/>
    <mergeCell ref="D2:K2"/>
    <mergeCell ref="D3:K3"/>
    <mergeCell ref="L2:M2"/>
    <mergeCell ref="L3:M3"/>
    <mergeCell ref="I7:K7"/>
    <mergeCell ref="F5:H5"/>
    <mergeCell ref="M1:N1"/>
    <mergeCell ref="L5:N5"/>
    <mergeCell ref="L6:N6"/>
    <mergeCell ref="L7:N7"/>
    <mergeCell ref="I5:K5"/>
    <mergeCell ref="I6:K6"/>
    <mergeCell ref="C6:E7"/>
    <mergeCell ref="A20:N24"/>
    <mergeCell ref="A25:N25"/>
    <mergeCell ref="A26:N30"/>
    <mergeCell ref="J33:K33"/>
    <mergeCell ref="J11:K11"/>
    <mergeCell ref="J12:K12"/>
    <mergeCell ref="J13:K13"/>
    <mergeCell ref="J15:K15"/>
    <mergeCell ref="J14:K14"/>
    <mergeCell ref="J16:K16"/>
    <mergeCell ref="G11:I11"/>
    <mergeCell ref="G12:I12"/>
    <mergeCell ref="G13:I13"/>
    <mergeCell ref="G14:I14"/>
    <mergeCell ref="G15:I15"/>
    <mergeCell ref="G16:I16"/>
    <mergeCell ref="E15:F15"/>
    <mergeCell ref="E16:F16"/>
    <mergeCell ref="E14:F14"/>
    <mergeCell ref="E13:F13"/>
    <mergeCell ref="C11:D11"/>
    <mergeCell ref="C12:D12"/>
    <mergeCell ref="C13:D13"/>
    <mergeCell ref="C14:D14"/>
    <mergeCell ref="G32:K32"/>
    <mergeCell ref="J34:K34"/>
    <mergeCell ref="J35:K35"/>
    <mergeCell ref="J36:K36"/>
    <mergeCell ref="A46:N46"/>
    <mergeCell ref="L8:N8"/>
    <mergeCell ref="L9:N9"/>
    <mergeCell ref="M44:N44"/>
    <mergeCell ref="A45:C45"/>
    <mergeCell ref="D45:F45"/>
    <mergeCell ref="G45:H45"/>
    <mergeCell ref="I45:J45"/>
    <mergeCell ref="K45:L45"/>
    <mergeCell ref="M45:N45"/>
    <mergeCell ref="A43:N43"/>
    <mergeCell ref="A44:C44"/>
    <mergeCell ref="D44:F44"/>
    <mergeCell ref="G44:H44"/>
    <mergeCell ref="I44:J44"/>
    <mergeCell ref="K44:L44"/>
    <mergeCell ref="D32:F32"/>
    <mergeCell ref="A17:N17"/>
    <mergeCell ref="A18:N18"/>
    <mergeCell ref="A19:N19"/>
    <mergeCell ref="L31:N31"/>
    <mergeCell ref="A47:N67"/>
    <mergeCell ref="A4:K4"/>
    <mergeCell ref="L4:N4"/>
    <mergeCell ref="L32:L33"/>
    <mergeCell ref="M32:M33"/>
    <mergeCell ref="N32:N33"/>
    <mergeCell ref="J37:K37"/>
    <mergeCell ref="J38:K38"/>
    <mergeCell ref="J39:K39"/>
    <mergeCell ref="J40:K40"/>
    <mergeCell ref="J41:K41"/>
    <mergeCell ref="J42:K42"/>
    <mergeCell ref="A36:C36"/>
    <mergeCell ref="A37:C37"/>
    <mergeCell ref="A38:C38"/>
    <mergeCell ref="A39:C39"/>
    <mergeCell ref="A40:C40"/>
    <mergeCell ref="A41:C41"/>
    <mergeCell ref="A42:C42"/>
    <mergeCell ref="A32:C33"/>
    <mergeCell ref="A34:C34"/>
    <mergeCell ref="A35:C35"/>
    <mergeCell ref="A31:K31"/>
  </mergeCells>
  <conditionalFormatting sqref="C6">
    <cfRule type="notContainsBlanks" dxfId="39" priority="6">
      <formula>LEN(TRIM(C6))&gt;0</formula>
    </cfRule>
  </conditionalFormatting>
  <conditionalFormatting sqref="C11:D16">
    <cfRule type="notContainsBlanks" dxfId="38" priority="1">
      <formula>LEN(TRIM(C11))&gt;0</formula>
    </cfRule>
  </conditionalFormatting>
  <conditionalFormatting sqref="C8:E9">
    <cfRule type="notContainsBlanks" dxfId="37" priority="5">
      <formula>LEN(TRIM(C8))&gt;0</formula>
    </cfRule>
  </conditionalFormatting>
  <conditionalFormatting sqref="G45:H45">
    <cfRule type="notContainsBlanks" dxfId="36" priority="9">
      <formula>LEN(TRIM(G45))&gt;0</formula>
    </cfRule>
  </conditionalFormatting>
  <conditionalFormatting sqref="I5:K9">
    <cfRule type="notContainsBlanks" dxfId="35" priority="4">
      <formula>LEN(TRIM(I5))&gt;0</formula>
    </cfRule>
  </conditionalFormatting>
  <conditionalFormatting sqref="L5:N7">
    <cfRule type="notContainsBlanks" dxfId="34" priority="3">
      <formula>LEN(TRIM(L5))&gt;0</formula>
    </cfRule>
  </conditionalFormatting>
  <conditionalFormatting sqref="L9:N9">
    <cfRule type="notContainsBlanks" dxfId="33" priority="2">
      <formula>LEN(TRIM(L9))&gt;0</formula>
    </cfRule>
  </conditionalFormatting>
  <conditionalFormatting sqref="M1:N1 D2:K3 N2:N3 G11:I16 A18:N18 A20:N24 A26:N30 D34:K42">
    <cfRule type="notContainsBlanks" dxfId="32" priority="7">
      <formula>LEN(TRIM(A1))&gt;0</formula>
    </cfRule>
  </conditionalFormatting>
  <dataValidations count="4">
    <dataValidation allowBlank="1" showInputMessage="1" showErrorMessage="1" prompt="Well Name Here" sqref="D2:K2" xr:uid="{B589CD3D-D3C7-4420-86ED-D2DDD5DE9663}"/>
    <dataValidation allowBlank="1" showInputMessage="1" showErrorMessage="1" prompt="UWI Here" sqref="D3:K3" xr:uid="{A2AC9428-90E3-478A-9370-03B419061BFA}"/>
    <dataValidation allowBlank="1" showInputMessage="1" showErrorMessage="1" prompt="Insert any additional comments &amp; photos if necessary " sqref="A47:N67" xr:uid="{1E920965-2BE2-44AE-8691-D8420F9831F1}"/>
    <dataValidation type="list" allowBlank="1" showInputMessage="1" showErrorMessage="1" sqref="G15:I16" xr:uid="{497F40C6-3D68-4074-9411-8D4D3320D5C1}">
      <formula1>"Base of Drift, Clearwater Top, Surface Casing, Core Point, Lower Wab / RMZ top, Upper McMurray, Mid McMurray / RMZ Base, Beaverhill Lake, Total Depth"</formula1>
    </dataValidation>
  </dataValidations>
  <pageMargins left="0.7" right="0.7" top="0.75" bottom="0.75" header="0.3" footer="0.3"/>
  <pageSetup scale="60"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3DDB4-9129-454A-834B-AF3D1B4E3326}">
  <dimension ref="A1:N68"/>
  <sheetViews>
    <sheetView tabSelected="1" zoomScaleNormal="100" workbookViewId="0">
      <selection activeCell="I5" sqref="I5:K5"/>
    </sheetView>
  </sheetViews>
  <sheetFormatPr baseColWidth="10" defaultColWidth="8.83203125" defaultRowHeight="15" x14ac:dyDescent="0.2"/>
  <cols>
    <col min="1" max="14" width="10.6640625" customWidth="1"/>
  </cols>
  <sheetData>
    <row r="1" spans="1:14" ht="22" x14ac:dyDescent="0.3">
      <c r="A1" s="109"/>
      <c r="B1" s="110"/>
      <c r="C1" s="110"/>
      <c r="D1" s="113" t="s">
        <v>0</v>
      </c>
      <c r="E1" s="114"/>
      <c r="F1" s="114"/>
      <c r="G1" s="114"/>
      <c r="H1" s="114"/>
      <c r="I1" s="114"/>
      <c r="J1" s="114"/>
      <c r="K1" s="115"/>
      <c r="L1" s="4" t="s">
        <v>7</v>
      </c>
      <c r="M1" s="116"/>
      <c r="N1" s="117"/>
    </row>
    <row r="2" spans="1:14" ht="21" customHeight="1" x14ac:dyDescent="0.3">
      <c r="A2" s="111"/>
      <c r="B2" s="112"/>
      <c r="C2" s="112"/>
      <c r="D2" s="118"/>
      <c r="E2" s="119"/>
      <c r="F2" s="119"/>
      <c r="G2" s="119"/>
      <c r="H2" s="119"/>
      <c r="I2" s="119"/>
      <c r="J2" s="119"/>
      <c r="K2" s="120"/>
      <c r="L2" s="121" t="s">
        <v>1</v>
      </c>
      <c r="M2" s="122"/>
      <c r="N2" s="15"/>
    </row>
    <row r="3" spans="1:14" ht="24.75" customHeight="1" thickBot="1" x14ac:dyDescent="0.35">
      <c r="A3" s="111"/>
      <c r="B3" s="112"/>
      <c r="C3" s="112"/>
      <c r="D3" s="123"/>
      <c r="E3" s="124"/>
      <c r="F3" s="124"/>
      <c r="G3" s="124"/>
      <c r="H3" s="124"/>
      <c r="I3" s="124"/>
      <c r="J3" s="124"/>
      <c r="K3" s="125"/>
      <c r="L3" s="126" t="s">
        <v>56</v>
      </c>
      <c r="M3" s="127"/>
      <c r="N3" s="16"/>
    </row>
    <row r="4" spans="1:14" x14ac:dyDescent="0.2">
      <c r="A4" s="140" t="s">
        <v>2</v>
      </c>
      <c r="B4" s="141"/>
      <c r="C4" s="141"/>
      <c r="D4" s="141"/>
      <c r="E4" s="141"/>
      <c r="F4" s="141"/>
      <c r="G4" s="141"/>
      <c r="H4" s="141"/>
      <c r="I4" s="141"/>
      <c r="J4" s="141"/>
      <c r="K4" s="141"/>
      <c r="L4" s="141" t="s">
        <v>62</v>
      </c>
      <c r="M4" s="141"/>
      <c r="N4" s="142"/>
    </row>
    <row r="5" spans="1:14" x14ac:dyDescent="0.2">
      <c r="A5" s="91" t="s">
        <v>3</v>
      </c>
      <c r="B5" s="92"/>
      <c r="C5" s="43" t="s">
        <v>4</v>
      </c>
      <c r="D5" s="43"/>
      <c r="E5" s="43"/>
      <c r="F5" s="46" t="s">
        <v>5</v>
      </c>
      <c r="G5" s="46"/>
      <c r="H5" s="46"/>
      <c r="I5" s="143"/>
      <c r="J5" s="143"/>
      <c r="K5" s="143"/>
      <c r="L5" s="94"/>
      <c r="M5" s="94"/>
      <c r="N5" s="139"/>
    </row>
    <row r="6" spans="1:14" x14ac:dyDescent="0.2">
      <c r="A6" s="128" t="s">
        <v>8</v>
      </c>
      <c r="B6" s="129"/>
      <c r="C6" s="130" t="s">
        <v>69</v>
      </c>
      <c r="D6" s="131"/>
      <c r="E6" s="132"/>
      <c r="F6" s="103" t="s">
        <v>6</v>
      </c>
      <c r="G6" s="103"/>
      <c r="H6" s="6" t="s">
        <v>11</v>
      </c>
      <c r="I6" s="94"/>
      <c r="J6" s="94"/>
      <c r="K6" s="94"/>
      <c r="L6" s="136"/>
      <c r="M6" s="137"/>
      <c r="N6" s="138"/>
    </row>
    <row r="7" spans="1:14" x14ac:dyDescent="0.2">
      <c r="A7" s="128"/>
      <c r="B7" s="129"/>
      <c r="C7" s="133"/>
      <c r="D7" s="134"/>
      <c r="E7" s="135"/>
      <c r="F7" s="103"/>
      <c r="G7" s="103"/>
      <c r="H7" s="6" t="s">
        <v>12</v>
      </c>
      <c r="I7" s="94"/>
      <c r="J7" s="94"/>
      <c r="K7" s="94"/>
      <c r="L7" s="94"/>
      <c r="M7" s="94"/>
      <c r="N7" s="139"/>
    </row>
    <row r="8" spans="1:14" x14ac:dyDescent="0.2">
      <c r="A8" s="102" t="s">
        <v>9</v>
      </c>
      <c r="B8" s="103"/>
      <c r="C8" s="104"/>
      <c r="D8" s="104"/>
      <c r="E8" s="104"/>
      <c r="F8" s="103" t="s">
        <v>10</v>
      </c>
      <c r="G8" s="103"/>
      <c r="H8" s="2" t="s">
        <v>11</v>
      </c>
      <c r="I8" s="94"/>
      <c r="J8" s="94"/>
      <c r="K8" s="94"/>
      <c r="L8" s="105" t="s">
        <v>55</v>
      </c>
      <c r="M8" s="106"/>
      <c r="N8" s="107"/>
    </row>
    <row r="9" spans="1:14" x14ac:dyDescent="0.2">
      <c r="A9" s="102"/>
      <c r="B9" s="103"/>
      <c r="C9" s="104"/>
      <c r="D9" s="104"/>
      <c r="E9" s="104"/>
      <c r="F9" s="103"/>
      <c r="G9" s="103"/>
      <c r="H9" s="2" t="s">
        <v>12</v>
      </c>
      <c r="I9" s="94"/>
      <c r="J9" s="94"/>
      <c r="K9" s="94"/>
      <c r="L9" s="104"/>
      <c r="M9" s="104"/>
      <c r="N9" s="108"/>
    </row>
    <row r="10" spans="1:14" x14ac:dyDescent="0.2">
      <c r="A10" s="31" t="s">
        <v>31</v>
      </c>
      <c r="B10" s="32"/>
      <c r="C10" s="32"/>
      <c r="D10" s="32"/>
      <c r="E10" s="32"/>
      <c r="F10" s="32"/>
      <c r="G10" s="32"/>
      <c r="H10" s="32"/>
      <c r="I10" s="32"/>
      <c r="J10" s="32"/>
      <c r="K10" s="32"/>
      <c r="L10" s="32"/>
      <c r="M10" s="32"/>
      <c r="N10" s="33"/>
    </row>
    <row r="11" spans="1:14" x14ac:dyDescent="0.2">
      <c r="A11" s="91" t="s">
        <v>13</v>
      </c>
      <c r="B11" s="92"/>
      <c r="C11" s="100"/>
      <c r="D11" s="94"/>
      <c r="E11" s="92" t="s">
        <v>63</v>
      </c>
      <c r="F11" s="92"/>
      <c r="G11" s="93"/>
      <c r="H11" s="93"/>
      <c r="I11" s="93"/>
      <c r="J11" s="46" t="s">
        <v>27</v>
      </c>
      <c r="K11" s="101"/>
      <c r="L11" s="3" t="s">
        <v>28</v>
      </c>
      <c r="M11" s="3" t="s">
        <v>29</v>
      </c>
      <c r="N11" s="5" t="s">
        <v>30</v>
      </c>
    </row>
    <row r="12" spans="1:14" x14ac:dyDescent="0.2">
      <c r="A12" s="91" t="s">
        <v>14</v>
      </c>
      <c r="B12" s="92"/>
      <c r="C12" s="94"/>
      <c r="D12" s="94"/>
      <c r="E12" s="92" t="s">
        <v>19</v>
      </c>
      <c r="F12" s="92"/>
      <c r="G12" s="93"/>
      <c r="H12" s="93"/>
      <c r="I12" s="93"/>
      <c r="J12" s="92" t="s">
        <v>24</v>
      </c>
      <c r="K12" s="92"/>
      <c r="L12" s="14"/>
      <c r="M12" s="14"/>
      <c r="N12" s="9"/>
    </row>
    <row r="13" spans="1:14" x14ac:dyDescent="0.2">
      <c r="A13" s="91" t="s">
        <v>15</v>
      </c>
      <c r="B13" s="92"/>
      <c r="C13" s="99"/>
      <c r="D13" s="99"/>
      <c r="E13" s="92" t="s">
        <v>20</v>
      </c>
      <c r="F13" s="92"/>
      <c r="G13" s="94"/>
      <c r="H13" s="94"/>
      <c r="I13" s="94"/>
      <c r="J13" s="92" t="s">
        <v>25</v>
      </c>
      <c r="K13" s="92"/>
      <c r="L13" s="14"/>
      <c r="M13" s="14"/>
      <c r="N13" s="9"/>
    </row>
    <row r="14" spans="1:14" x14ac:dyDescent="0.2">
      <c r="A14" s="91" t="s">
        <v>16</v>
      </c>
      <c r="B14" s="92"/>
      <c r="C14" s="93"/>
      <c r="D14" s="93"/>
      <c r="E14" s="92" t="s">
        <v>21</v>
      </c>
      <c r="F14" s="92"/>
      <c r="G14" s="98"/>
      <c r="H14" s="98"/>
      <c r="I14" s="98"/>
      <c r="J14" s="92" t="s">
        <v>26</v>
      </c>
      <c r="K14" s="92"/>
      <c r="L14" s="14"/>
      <c r="M14" s="14"/>
      <c r="N14" s="9"/>
    </row>
    <row r="15" spans="1:14" x14ac:dyDescent="0.2">
      <c r="A15" s="91" t="s">
        <v>17</v>
      </c>
      <c r="B15" s="92"/>
      <c r="C15" s="93"/>
      <c r="D15" s="93"/>
      <c r="E15" s="92" t="s">
        <v>22</v>
      </c>
      <c r="F15" s="92"/>
      <c r="G15" s="94" t="s">
        <v>35</v>
      </c>
      <c r="H15" s="94"/>
      <c r="I15" s="94"/>
      <c r="J15" s="92" t="s">
        <v>83</v>
      </c>
      <c r="K15" s="92"/>
      <c r="L15" s="14"/>
      <c r="M15" s="14"/>
      <c r="N15" s="9"/>
    </row>
    <row r="16" spans="1:14" x14ac:dyDescent="0.2">
      <c r="A16" s="91" t="s">
        <v>18</v>
      </c>
      <c r="B16" s="92"/>
      <c r="C16" s="93" t="str">
        <f>IF(C$15="","",C$14-C$15)</f>
        <v/>
      </c>
      <c r="D16" s="93"/>
      <c r="E16" s="92" t="s">
        <v>23</v>
      </c>
      <c r="F16" s="92"/>
      <c r="G16" s="94" t="s">
        <v>35</v>
      </c>
      <c r="H16" s="94"/>
      <c r="I16" s="94"/>
      <c r="J16" s="92"/>
      <c r="K16" s="92"/>
      <c r="L16" s="14"/>
      <c r="M16" s="14"/>
      <c r="N16" s="9"/>
    </row>
    <row r="17" spans="1:14" ht="16" thickBot="1" x14ac:dyDescent="0.25">
      <c r="A17" s="95" t="s">
        <v>57</v>
      </c>
      <c r="B17" s="96"/>
      <c r="C17" s="96"/>
      <c r="D17" s="96"/>
      <c r="E17" s="96"/>
      <c r="F17" s="96"/>
      <c r="G17" s="96"/>
      <c r="H17" s="96"/>
      <c r="I17" s="96"/>
      <c r="J17" s="96"/>
      <c r="K17" s="96"/>
      <c r="L17" s="96"/>
      <c r="M17" s="96"/>
      <c r="N17" s="97"/>
    </row>
    <row r="18" spans="1:14" ht="16" thickBot="1" x14ac:dyDescent="0.25">
      <c r="A18" s="76"/>
      <c r="B18" s="77"/>
      <c r="C18" s="77"/>
      <c r="D18" s="77"/>
      <c r="E18" s="77"/>
      <c r="F18" s="77"/>
      <c r="G18" s="77"/>
      <c r="H18" s="77"/>
      <c r="I18" s="77"/>
      <c r="J18" s="77"/>
      <c r="K18" s="77"/>
      <c r="L18" s="77"/>
      <c r="M18" s="77"/>
      <c r="N18" s="78"/>
    </row>
    <row r="19" spans="1:14" ht="16" thickBot="1" x14ac:dyDescent="0.25">
      <c r="A19" s="79" t="s">
        <v>32</v>
      </c>
      <c r="B19" s="80"/>
      <c r="C19" s="80"/>
      <c r="D19" s="80"/>
      <c r="E19" s="80"/>
      <c r="F19" s="80"/>
      <c r="G19" s="80"/>
      <c r="H19" s="80"/>
      <c r="I19" s="80"/>
      <c r="J19" s="80"/>
      <c r="K19" s="80"/>
      <c r="L19" s="80"/>
      <c r="M19" s="80"/>
      <c r="N19" s="81"/>
    </row>
    <row r="20" spans="1:14" x14ac:dyDescent="0.2">
      <c r="A20" s="82"/>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ht="19.5" customHeight="1" thickBot="1" x14ac:dyDescent="0.25">
      <c r="A22" s="85"/>
      <c r="B22" s="86"/>
      <c r="C22" s="86"/>
      <c r="D22" s="86"/>
      <c r="E22" s="86"/>
      <c r="F22" s="86"/>
      <c r="G22" s="86"/>
      <c r="H22" s="86"/>
      <c r="I22" s="86"/>
      <c r="J22" s="86"/>
      <c r="K22" s="86"/>
      <c r="L22" s="86"/>
      <c r="M22" s="86"/>
      <c r="N22" s="87"/>
    </row>
    <row r="23" spans="1:14" ht="16" hidden="1" thickBot="1" x14ac:dyDescent="0.25">
      <c r="A23" s="85"/>
      <c r="B23" s="86"/>
      <c r="C23" s="86"/>
      <c r="D23" s="86"/>
      <c r="E23" s="86"/>
      <c r="F23" s="86"/>
      <c r="G23" s="86"/>
      <c r="H23" s="86"/>
      <c r="I23" s="86"/>
      <c r="J23" s="86"/>
      <c r="K23" s="86"/>
      <c r="L23" s="86"/>
      <c r="M23" s="86"/>
      <c r="N23" s="87"/>
    </row>
    <row r="24" spans="1:14" ht="16" hidden="1" thickBot="1" x14ac:dyDescent="0.25">
      <c r="A24" s="88"/>
      <c r="B24" s="89"/>
      <c r="C24" s="89"/>
      <c r="D24" s="89"/>
      <c r="E24" s="89"/>
      <c r="F24" s="89"/>
      <c r="G24" s="89"/>
      <c r="H24" s="89"/>
      <c r="I24" s="89"/>
      <c r="J24" s="89"/>
      <c r="K24" s="89"/>
      <c r="L24" s="89"/>
      <c r="M24" s="89"/>
      <c r="N24" s="90"/>
    </row>
    <row r="25" spans="1:14" ht="16" thickBot="1" x14ac:dyDescent="0.25">
      <c r="A25" s="79" t="s">
        <v>33</v>
      </c>
      <c r="B25" s="80"/>
      <c r="C25" s="80"/>
      <c r="D25" s="80"/>
      <c r="E25" s="80"/>
      <c r="F25" s="80"/>
      <c r="G25" s="80"/>
      <c r="H25" s="80"/>
      <c r="I25" s="80"/>
      <c r="J25" s="80"/>
      <c r="K25" s="80"/>
      <c r="L25" s="80"/>
      <c r="M25" s="80"/>
      <c r="N25" s="81"/>
    </row>
    <row r="26" spans="1:14" x14ac:dyDescent="0.2">
      <c r="A26" s="82"/>
      <c r="B26" s="83"/>
      <c r="C26" s="83"/>
      <c r="D26" s="83"/>
      <c r="E26" s="83"/>
      <c r="F26" s="83"/>
      <c r="G26" s="83"/>
      <c r="H26" s="83"/>
      <c r="I26" s="83"/>
      <c r="J26" s="83"/>
      <c r="K26" s="83"/>
      <c r="L26" s="83"/>
      <c r="M26" s="83"/>
      <c r="N26" s="84"/>
    </row>
    <row r="27" spans="1:14" ht="15" customHeight="1" thickBot="1" x14ac:dyDescent="0.25">
      <c r="A27" s="85"/>
      <c r="B27" s="86"/>
      <c r="C27" s="86"/>
      <c r="D27" s="86"/>
      <c r="E27" s="86"/>
      <c r="F27" s="86"/>
      <c r="G27" s="86"/>
      <c r="H27" s="86"/>
      <c r="I27" s="86"/>
      <c r="J27" s="86"/>
      <c r="K27" s="86"/>
      <c r="L27" s="86"/>
      <c r="M27" s="86"/>
      <c r="N27" s="87"/>
    </row>
    <row r="28" spans="1:14" ht="16" hidden="1" thickBot="1" x14ac:dyDescent="0.25">
      <c r="A28" s="85"/>
      <c r="B28" s="86"/>
      <c r="C28" s="86"/>
      <c r="D28" s="86"/>
      <c r="E28" s="86"/>
      <c r="F28" s="86"/>
      <c r="G28" s="86"/>
      <c r="H28" s="86"/>
      <c r="I28" s="86"/>
      <c r="J28" s="86"/>
      <c r="K28" s="86"/>
      <c r="L28" s="86"/>
      <c r="M28" s="86"/>
      <c r="N28" s="87"/>
    </row>
    <row r="29" spans="1:14" ht="16" hidden="1" thickBot="1" x14ac:dyDescent="0.25">
      <c r="A29" s="85"/>
      <c r="B29" s="86"/>
      <c r="C29" s="86"/>
      <c r="D29" s="86"/>
      <c r="E29" s="86"/>
      <c r="F29" s="86"/>
      <c r="G29" s="86"/>
      <c r="H29" s="86"/>
      <c r="I29" s="86"/>
      <c r="J29" s="86"/>
      <c r="K29" s="86"/>
      <c r="L29" s="86"/>
      <c r="M29" s="86"/>
      <c r="N29" s="87"/>
    </row>
    <row r="30" spans="1:14" ht="16" hidden="1" thickBot="1" x14ac:dyDescent="0.25">
      <c r="A30" s="88"/>
      <c r="B30" s="89"/>
      <c r="C30" s="89"/>
      <c r="D30" s="89"/>
      <c r="E30" s="89"/>
      <c r="F30" s="89"/>
      <c r="G30" s="89"/>
      <c r="H30" s="89"/>
      <c r="I30" s="89"/>
      <c r="J30" s="89"/>
      <c r="K30" s="89"/>
      <c r="L30" s="89"/>
      <c r="M30" s="89"/>
      <c r="N30" s="90"/>
    </row>
    <row r="31" spans="1:14" ht="16" thickBot="1" x14ac:dyDescent="0.25">
      <c r="A31" s="79" t="s">
        <v>34</v>
      </c>
      <c r="B31" s="80"/>
      <c r="C31" s="80"/>
      <c r="D31" s="80"/>
      <c r="E31" s="80"/>
      <c r="F31" s="80"/>
      <c r="G31" s="80"/>
      <c r="H31" s="80"/>
      <c r="I31" s="80"/>
      <c r="J31" s="80"/>
      <c r="K31" s="81"/>
      <c r="L31" s="79" t="s">
        <v>58</v>
      </c>
      <c r="M31" s="80"/>
      <c r="N31" s="81"/>
    </row>
    <row r="32" spans="1:14" x14ac:dyDescent="0.2">
      <c r="A32" s="58" t="s">
        <v>47</v>
      </c>
      <c r="B32" s="59"/>
      <c r="C32" s="60"/>
      <c r="D32" s="64" t="s">
        <v>40</v>
      </c>
      <c r="E32" s="64"/>
      <c r="F32" s="64"/>
      <c r="G32" s="65" t="s">
        <v>43</v>
      </c>
      <c r="H32" s="66"/>
      <c r="I32" s="66"/>
      <c r="J32" s="66"/>
      <c r="K32" s="67"/>
      <c r="L32" s="68" t="s">
        <v>64</v>
      </c>
      <c r="M32" s="70" t="s">
        <v>61</v>
      </c>
      <c r="N32" s="72" t="s">
        <v>59</v>
      </c>
    </row>
    <row r="33" spans="1:14" x14ac:dyDescent="0.2">
      <c r="A33" s="61"/>
      <c r="B33" s="62"/>
      <c r="C33" s="63"/>
      <c r="D33" s="3" t="s">
        <v>42</v>
      </c>
      <c r="E33" s="3" t="s">
        <v>45</v>
      </c>
      <c r="F33" s="3" t="s">
        <v>65</v>
      </c>
      <c r="G33" s="3" t="s">
        <v>42</v>
      </c>
      <c r="H33" s="3" t="s">
        <v>41</v>
      </c>
      <c r="I33" s="3" t="s">
        <v>65</v>
      </c>
      <c r="J33" s="74" t="s">
        <v>46</v>
      </c>
      <c r="K33" s="75"/>
      <c r="L33" s="69"/>
      <c r="M33" s="71"/>
      <c r="N33" s="73"/>
    </row>
    <row r="34" spans="1:14" x14ac:dyDescent="0.2">
      <c r="A34" s="48" t="s">
        <v>25</v>
      </c>
      <c r="B34" s="49"/>
      <c r="C34" s="50"/>
      <c r="D34" s="17"/>
      <c r="E34" s="18"/>
      <c r="F34" s="17"/>
      <c r="G34" s="14"/>
      <c r="H34" s="14"/>
      <c r="I34" s="18" t="str">
        <f>IF(H34="","",C$14-H34)</f>
        <v/>
      </c>
      <c r="J34" s="51" t="str">
        <f>IF(OR(H34="",F34=""),"",E34-H34)</f>
        <v/>
      </c>
      <c r="K34" s="52"/>
      <c r="L34" s="23"/>
      <c r="M34" s="24"/>
      <c r="N34" s="9"/>
    </row>
    <row r="35" spans="1:14" x14ac:dyDescent="0.2">
      <c r="A35" s="48" t="s">
        <v>81</v>
      </c>
      <c r="B35" s="49"/>
      <c r="C35" s="50"/>
      <c r="D35" s="17"/>
      <c r="E35" s="18"/>
      <c r="F35" s="17"/>
      <c r="G35" s="14"/>
      <c r="H35" s="14"/>
      <c r="I35" s="18" t="str">
        <f t="shared" ref="I35:I42" si="0">IF(H35="","",C$14-H35)</f>
        <v/>
      </c>
      <c r="J35" s="51" t="str">
        <f t="shared" ref="J35:J42" si="1">IF(OR(H35="",F35=""),"",E35-H35)</f>
        <v/>
      </c>
      <c r="K35" s="52"/>
      <c r="L35" s="23"/>
      <c r="M35" s="24"/>
      <c r="N35" s="9"/>
    </row>
    <row r="36" spans="1:14" x14ac:dyDescent="0.2">
      <c r="A36" s="48" t="s">
        <v>35</v>
      </c>
      <c r="B36" s="49"/>
      <c r="C36" s="50"/>
      <c r="D36" s="17"/>
      <c r="E36" s="18"/>
      <c r="F36" s="17"/>
      <c r="G36" s="14"/>
      <c r="H36" s="14"/>
      <c r="I36" s="18" t="str">
        <f t="shared" si="0"/>
        <v/>
      </c>
      <c r="J36" s="51" t="str">
        <f t="shared" si="1"/>
        <v/>
      </c>
      <c r="K36" s="52"/>
      <c r="L36" s="23"/>
      <c r="M36" s="22"/>
      <c r="N36" s="25"/>
    </row>
    <row r="37" spans="1:14" x14ac:dyDescent="0.2">
      <c r="A37" s="48" t="s">
        <v>36</v>
      </c>
      <c r="B37" s="49"/>
      <c r="C37" s="50"/>
      <c r="D37" s="17"/>
      <c r="E37" s="18"/>
      <c r="F37" s="17"/>
      <c r="G37" s="14"/>
      <c r="H37" s="14"/>
      <c r="I37" s="18" t="str">
        <f t="shared" si="0"/>
        <v/>
      </c>
      <c r="J37" s="51" t="str">
        <f t="shared" si="1"/>
        <v/>
      </c>
      <c r="K37" s="52"/>
      <c r="L37" s="10"/>
      <c r="M37" s="7"/>
      <c r="N37" s="11"/>
    </row>
    <row r="38" spans="1:14" x14ac:dyDescent="0.2">
      <c r="A38" s="48" t="s">
        <v>82</v>
      </c>
      <c r="B38" s="49"/>
      <c r="C38" s="50"/>
      <c r="D38" s="17"/>
      <c r="E38" s="18"/>
      <c r="F38" s="17"/>
      <c r="G38" s="14"/>
      <c r="H38" s="14"/>
      <c r="I38" s="18" t="str">
        <f t="shared" si="0"/>
        <v/>
      </c>
      <c r="J38" s="51" t="str">
        <f t="shared" si="1"/>
        <v/>
      </c>
      <c r="K38" s="52"/>
      <c r="L38" s="10"/>
      <c r="M38" s="7"/>
      <c r="N38" s="11"/>
    </row>
    <row r="39" spans="1:14" x14ac:dyDescent="0.2">
      <c r="A39" s="48" t="s">
        <v>37</v>
      </c>
      <c r="B39" s="49"/>
      <c r="C39" s="50"/>
      <c r="D39" s="17"/>
      <c r="E39" s="18"/>
      <c r="F39" s="17"/>
      <c r="G39" s="14"/>
      <c r="H39" s="14"/>
      <c r="I39" s="18" t="str">
        <f t="shared" si="0"/>
        <v/>
      </c>
      <c r="J39" s="51" t="str">
        <f t="shared" si="1"/>
        <v/>
      </c>
      <c r="K39" s="52"/>
      <c r="L39" s="10"/>
      <c r="M39" s="7"/>
      <c r="N39" s="11"/>
    </row>
    <row r="40" spans="1:14" x14ac:dyDescent="0.2">
      <c r="A40" s="48" t="s">
        <v>44</v>
      </c>
      <c r="B40" s="49"/>
      <c r="C40" s="50"/>
      <c r="D40" s="17"/>
      <c r="E40" s="18"/>
      <c r="F40" s="17"/>
      <c r="G40" s="14"/>
      <c r="H40" s="14"/>
      <c r="I40" s="18" t="str">
        <f t="shared" si="0"/>
        <v/>
      </c>
      <c r="J40" s="51" t="str">
        <f t="shared" si="1"/>
        <v/>
      </c>
      <c r="K40" s="52"/>
      <c r="L40" s="10"/>
      <c r="M40" s="7"/>
      <c r="N40" s="11"/>
    </row>
    <row r="41" spans="1:14" x14ac:dyDescent="0.2">
      <c r="A41" s="48" t="s">
        <v>38</v>
      </c>
      <c r="B41" s="49"/>
      <c r="C41" s="50"/>
      <c r="D41" s="17"/>
      <c r="E41" s="18"/>
      <c r="F41" s="17"/>
      <c r="G41" s="14"/>
      <c r="H41" s="14"/>
      <c r="I41" s="18" t="str">
        <f t="shared" si="0"/>
        <v/>
      </c>
      <c r="J41" s="51" t="str">
        <f t="shared" si="1"/>
        <v/>
      </c>
      <c r="K41" s="52"/>
      <c r="L41" s="10"/>
      <c r="M41" s="7"/>
      <c r="N41" s="11"/>
    </row>
    <row r="42" spans="1:14" ht="16" thickBot="1" x14ac:dyDescent="0.25">
      <c r="A42" s="53" t="s">
        <v>39</v>
      </c>
      <c r="B42" s="54"/>
      <c r="C42" s="55"/>
      <c r="D42" s="19"/>
      <c r="E42" s="20"/>
      <c r="F42" s="19"/>
      <c r="G42" s="21"/>
      <c r="H42" s="21"/>
      <c r="I42" s="20" t="str">
        <f t="shared" si="0"/>
        <v/>
      </c>
      <c r="J42" s="56" t="str">
        <f t="shared" si="1"/>
        <v/>
      </c>
      <c r="K42" s="57"/>
      <c r="L42" s="12"/>
      <c r="M42" s="8"/>
      <c r="N42" s="13"/>
    </row>
    <row r="43" spans="1:14" x14ac:dyDescent="0.2">
      <c r="A43" s="31" t="s">
        <v>48</v>
      </c>
      <c r="B43" s="32"/>
      <c r="C43" s="32"/>
      <c r="D43" s="32"/>
      <c r="E43" s="32"/>
      <c r="F43" s="32"/>
      <c r="G43" s="32"/>
      <c r="H43" s="32"/>
      <c r="I43" s="32"/>
      <c r="J43" s="32"/>
      <c r="K43" s="32"/>
      <c r="L43" s="32"/>
      <c r="M43" s="32"/>
      <c r="N43" s="33"/>
    </row>
    <row r="44" spans="1:14" x14ac:dyDescent="0.2">
      <c r="A44" s="45" t="s">
        <v>49</v>
      </c>
      <c r="B44" s="46"/>
      <c r="C44" s="46"/>
      <c r="D44" s="46" t="s">
        <v>50</v>
      </c>
      <c r="E44" s="46"/>
      <c r="F44" s="46"/>
      <c r="G44" s="46" t="s">
        <v>51</v>
      </c>
      <c r="H44" s="46"/>
      <c r="I44" s="46" t="s">
        <v>60</v>
      </c>
      <c r="J44" s="46"/>
      <c r="K44" s="46" t="s">
        <v>52</v>
      </c>
      <c r="L44" s="46"/>
      <c r="M44" s="46" t="s">
        <v>53</v>
      </c>
      <c r="N44" s="47"/>
    </row>
    <row r="45" spans="1:14" x14ac:dyDescent="0.2">
      <c r="A45" s="40"/>
      <c r="B45" s="41"/>
      <c r="C45" s="41"/>
      <c r="D45" s="41"/>
      <c r="E45" s="41"/>
      <c r="F45" s="41"/>
      <c r="G45" s="42"/>
      <c r="H45" s="42"/>
      <c r="I45" s="41"/>
      <c r="J45" s="41"/>
      <c r="K45" s="43"/>
      <c r="L45" s="43"/>
      <c r="M45" s="43"/>
      <c r="N45" s="44"/>
    </row>
    <row r="46" spans="1:14" x14ac:dyDescent="0.2">
      <c r="A46" s="31" t="s">
        <v>54</v>
      </c>
      <c r="B46" s="32"/>
      <c r="C46" s="32"/>
      <c r="D46" s="32"/>
      <c r="E46" s="32"/>
      <c r="F46" s="32"/>
      <c r="G46" s="32"/>
      <c r="H46" s="32"/>
      <c r="I46" s="32"/>
      <c r="J46" s="32"/>
      <c r="K46" s="32"/>
      <c r="L46" s="32"/>
      <c r="M46" s="32"/>
      <c r="N46" s="33"/>
    </row>
    <row r="47" spans="1:14" x14ac:dyDescent="0.2">
      <c r="A47" s="34"/>
      <c r="B47" s="35"/>
      <c r="C47" s="35"/>
      <c r="D47" s="35"/>
      <c r="E47" s="35"/>
      <c r="F47" s="35"/>
      <c r="G47" s="35"/>
      <c r="H47" s="35"/>
      <c r="I47" s="35"/>
      <c r="J47" s="35"/>
      <c r="K47" s="35"/>
      <c r="L47" s="35"/>
      <c r="M47" s="35"/>
      <c r="N47" s="36"/>
    </row>
    <row r="48" spans="1:14" x14ac:dyDescent="0.2">
      <c r="A48" s="34"/>
      <c r="B48" s="35"/>
      <c r="C48" s="35"/>
      <c r="D48" s="35"/>
      <c r="E48" s="35"/>
      <c r="F48" s="35"/>
      <c r="G48" s="35"/>
      <c r="H48" s="35"/>
      <c r="I48" s="35"/>
      <c r="J48" s="35"/>
      <c r="K48" s="35"/>
      <c r="L48" s="35"/>
      <c r="M48" s="35"/>
      <c r="N48" s="36"/>
    </row>
    <row r="49" spans="1:14" x14ac:dyDescent="0.2">
      <c r="A49" s="34"/>
      <c r="B49" s="35"/>
      <c r="C49" s="35"/>
      <c r="D49" s="35"/>
      <c r="E49" s="35"/>
      <c r="F49" s="35"/>
      <c r="G49" s="35"/>
      <c r="H49" s="35"/>
      <c r="I49" s="35"/>
      <c r="J49" s="35"/>
      <c r="K49" s="35"/>
      <c r="L49" s="35"/>
      <c r="M49" s="35"/>
      <c r="N49" s="36"/>
    </row>
    <row r="50" spans="1:14" x14ac:dyDescent="0.2">
      <c r="A50" s="34"/>
      <c r="B50" s="35"/>
      <c r="C50" s="35"/>
      <c r="D50" s="35"/>
      <c r="E50" s="35"/>
      <c r="F50" s="35"/>
      <c r="G50" s="35"/>
      <c r="H50" s="35"/>
      <c r="I50" s="35"/>
      <c r="J50" s="35"/>
      <c r="K50" s="35"/>
      <c r="L50" s="35"/>
      <c r="M50" s="35"/>
      <c r="N50" s="36"/>
    </row>
    <row r="51" spans="1:14" x14ac:dyDescent="0.2">
      <c r="A51" s="34"/>
      <c r="B51" s="35"/>
      <c r="C51" s="35"/>
      <c r="D51" s="35"/>
      <c r="E51" s="35"/>
      <c r="F51" s="35"/>
      <c r="G51" s="35"/>
      <c r="H51" s="35"/>
      <c r="I51" s="35"/>
      <c r="J51" s="35"/>
      <c r="K51" s="35"/>
      <c r="L51" s="35"/>
      <c r="M51" s="35"/>
      <c r="N51" s="36"/>
    </row>
    <row r="52" spans="1:14" x14ac:dyDescent="0.2">
      <c r="A52" s="34"/>
      <c r="B52" s="35"/>
      <c r="C52" s="35"/>
      <c r="D52" s="35"/>
      <c r="E52" s="35"/>
      <c r="F52" s="35"/>
      <c r="G52" s="35"/>
      <c r="H52" s="35"/>
      <c r="I52" s="35"/>
      <c r="J52" s="35"/>
      <c r="K52" s="35"/>
      <c r="L52" s="35"/>
      <c r="M52" s="35"/>
      <c r="N52" s="36"/>
    </row>
    <row r="53" spans="1:14" x14ac:dyDescent="0.2">
      <c r="A53" s="34"/>
      <c r="B53" s="35"/>
      <c r="C53" s="35"/>
      <c r="D53" s="35"/>
      <c r="E53" s="35"/>
      <c r="F53" s="35"/>
      <c r="G53" s="35"/>
      <c r="H53" s="35"/>
      <c r="I53" s="35"/>
      <c r="J53" s="35"/>
      <c r="K53" s="35"/>
      <c r="L53" s="35"/>
      <c r="M53" s="35"/>
      <c r="N53" s="36"/>
    </row>
    <row r="54" spans="1:14" x14ac:dyDescent="0.2">
      <c r="A54" s="34"/>
      <c r="B54" s="35"/>
      <c r="C54" s="35"/>
      <c r="D54" s="35"/>
      <c r="E54" s="35"/>
      <c r="F54" s="35"/>
      <c r="G54" s="35"/>
      <c r="H54" s="35"/>
      <c r="I54" s="35"/>
      <c r="J54" s="35"/>
      <c r="K54" s="35"/>
      <c r="L54" s="35"/>
      <c r="M54" s="35"/>
      <c r="N54" s="36"/>
    </row>
    <row r="55" spans="1:14" x14ac:dyDescent="0.2">
      <c r="A55" s="34"/>
      <c r="B55" s="35"/>
      <c r="C55" s="35"/>
      <c r="D55" s="35"/>
      <c r="E55" s="35"/>
      <c r="F55" s="35"/>
      <c r="G55" s="35"/>
      <c r="H55" s="35"/>
      <c r="I55" s="35"/>
      <c r="J55" s="35"/>
      <c r="K55" s="35"/>
      <c r="L55" s="35"/>
      <c r="M55" s="35"/>
      <c r="N55" s="36"/>
    </row>
    <row r="56" spans="1:14" x14ac:dyDescent="0.2">
      <c r="A56" s="34"/>
      <c r="B56" s="35"/>
      <c r="C56" s="35"/>
      <c r="D56" s="35"/>
      <c r="E56" s="35"/>
      <c r="F56" s="35"/>
      <c r="G56" s="35"/>
      <c r="H56" s="35"/>
      <c r="I56" s="35"/>
      <c r="J56" s="35"/>
      <c r="K56" s="35"/>
      <c r="L56" s="35"/>
      <c r="M56" s="35"/>
      <c r="N56" s="36"/>
    </row>
    <row r="57" spans="1:14" x14ac:dyDescent="0.2">
      <c r="A57" s="34"/>
      <c r="B57" s="35"/>
      <c r="C57" s="35"/>
      <c r="D57" s="35"/>
      <c r="E57" s="35"/>
      <c r="F57" s="35"/>
      <c r="G57" s="35"/>
      <c r="H57" s="35"/>
      <c r="I57" s="35"/>
      <c r="J57" s="35"/>
      <c r="K57" s="35"/>
      <c r="L57" s="35"/>
      <c r="M57" s="35"/>
      <c r="N57" s="36"/>
    </row>
    <row r="58" spans="1:14" x14ac:dyDescent="0.2">
      <c r="A58" s="34"/>
      <c r="B58" s="35"/>
      <c r="C58" s="35"/>
      <c r="D58" s="35"/>
      <c r="E58" s="35"/>
      <c r="F58" s="35"/>
      <c r="G58" s="35"/>
      <c r="H58" s="35"/>
      <c r="I58" s="35"/>
      <c r="J58" s="35"/>
      <c r="K58" s="35"/>
      <c r="L58" s="35"/>
      <c r="M58" s="35"/>
      <c r="N58" s="36"/>
    </row>
    <row r="59" spans="1:14" x14ac:dyDescent="0.2">
      <c r="A59" s="34"/>
      <c r="B59" s="35"/>
      <c r="C59" s="35"/>
      <c r="D59" s="35"/>
      <c r="E59" s="35"/>
      <c r="F59" s="35"/>
      <c r="G59" s="35"/>
      <c r="H59" s="35"/>
      <c r="I59" s="35"/>
      <c r="J59" s="35"/>
      <c r="K59" s="35"/>
      <c r="L59" s="35"/>
      <c r="M59" s="35"/>
      <c r="N59" s="36"/>
    </row>
    <row r="60" spans="1:14" x14ac:dyDescent="0.2">
      <c r="A60" s="34"/>
      <c r="B60" s="35"/>
      <c r="C60" s="35"/>
      <c r="D60" s="35"/>
      <c r="E60" s="35"/>
      <c r="F60" s="35"/>
      <c r="G60" s="35"/>
      <c r="H60" s="35"/>
      <c r="I60" s="35"/>
      <c r="J60" s="35"/>
      <c r="K60" s="35"/>
      <c r="L60" s="35"/>
      <c r="M60" s="35"/>
      <c r="N60" s="36"/>
    </row>
    <row r="61" spans="1:14" x14ac:dyDescent="0.2">
      <c r="A61" s="34"/>
      <c r="B61" s="35"/>
      <c r="C61" s="35"/>
      <c r="D61" s="35"/>
      <c r="E61" s="35"/>
      <c r="F61" s="35"/>
      <c r="G61" s="35"/>
      <c r="H61" s="35"/>
      <c r="I61" s="35"/>
      <c r="J61" s="35"/>
      <c r="K61" s="35"/>
      <c r="L61" s="35"/>
      <c r="M61" s="35"/>
      <c r="N61" s="36"/>
    </row>
    <row r="62" spans="1:14" x14ac:dyDescent="0.2">
      <c r="A62" s="34"/>
      <c r="B62" s="35"/>
      <c r="C62" s="35"/>
      <c r="D62" s="35"/>
      <c r="E62" s="35"/>
      <c r="F62" s="35"/>
      <c r="G62" s="35"/>
      <c r="H62" s="35"/>
      <c r="I62" s="35"/>
      <c r="J62" s="35"/>
      <c r="K62" s="35"/>
      <c r="L62" s="35"/>
      <c r="M62" s="35"/>
      <c r="N62" s="36"/>
    </row>
    <row r="63" spans="1:14" x14ac:dyDescent="0.2">
      <c r="A63" s="34"/>
      <c r="B63" s="35"/>
      <c r="C63" s="35"/>
      <c r="D63" s="35"/>
      <c r="E63" s="35"/>
      <c r="F63" s="35"/>
      <c r="G63" s="35"/>
      <c r="H63" s="35"/>
      <c r="I63" s="35"/>
      <c r="J63" s="35"/>
      <c r="K63" s="35"/>
      <c r="L63" s="35"/>
      <c r="M63" s="35"/>
      <c r="N63" s="36"/>
    </row>
    <row r="64" spans="1:14" x14ac:dyDescent="0.2">
      <c r="A64" s="34"/>
      <c r="B64" s="35"/>
      <c r="C64" s="35"/>
      <c r="D64" s="35"/>
      <c r="E64" s="35"/>
      <c r="F64" s="35"/>
      <c r="G64" s="35"/>
      <c r="H64" s="35"/>
      <c r="I64" s="35"/>
      <c r="J64" s="35"/>
      <c r="K64" s="35"/>
      <c r="L64" s="35"/>
      <c r="M64" s="35"/>
      <c r="N64" s="36"/>
    </row>
    <row r="65" spans="1:14" x14ac:dyDescent="0.2">
      <c r="A65" s="34"/>
      <c r="B65" s="35"/>
      <c r="C65" s="35"/>
      <c r="D65" s="35"/>
      <c r="E65" s="35"/>
      <c r="F65" s="35"/>
      <c r="G65" s="35"/>
      <c r="H65" s="35"/>
      <c r="I65" s="35"/>
      <c r="J65" s="35"/>
      <c r="K65" s="35"/>
      <c r="L65" s="35"/>
      <c r="M65" s="35"/>
      <c r="N65" s="36"/>
    </row>
    <row r="66" spans="1:14" x14ac:dyDescent="0.2">
      <c r="A66" s="34"/>
      <c r="B66" s="35"/>
      <c r="C66" s="35"/>
      <c r="D66" s="35"/>
      <c r="E66" s="35"/>
      <c r="F66" s="35"/>
      <c r="G66" s="35"/>
      <c r="H66" s="35"/>
      <c r="I66" s="35"/>
      <c r="J66" s="35"/>
      <c r="K66" s="35"/>
      <c r="L66" s="35"/>
      <c r="M66" s="35"/>
      <c r="N66" s="36"/>
    </row>
    <row r="67" spans="1:14" ht="16" thickBot="1" x14ac:dyDescent="0.25">
      <c r="A67" s="37"/>
      <c r="B67" s="38"/>
      <c r="C67" s="38"/>
      <c r="D67" s="38"/>
      <c r="E67" s="38"/>
      <c r="F67" s="38"/>
      <c r="G67" s="38"/>
      <c r="H67" s="38"/>
      <c r="I67" s="38"/>
      <c r="J67" s="38"/>
      <c r="K67" s="38"/>
      <c r="L67" s="38"/>
      <c r="M67" s="38"/>
      <c r="N67" s="39"/>
    </row>
    <row r="68" spans="1:14" x14ac:dyDescent="0.2">
      <c r="A68" s="1"/>
      <c r="B68" s="1"/>
      <c r="C68" s="1"/>
      <c r="D68" s="1"/>
      <c r="E68" s="1"/>
      <c r="F68" s="1"/>
      <c r="G68" s="1"/>
      <c r="H68" s="1"/>
      <c r="I68" s="1"/>
      <c r="J68" s="1"/>
      <c r="K68" s="1"/>
      <c r="L68" s="1"/>
      <c r="M68" s="1"/>
      <c r="N68" s="1"/>
    </row>
  </sheetData>
  <sheetProtection formatCells="0" formatColumns="0" formatRows="0" insertColumns="0" insertRows="0" insertHyperlinks="0" deleteColumns="0" deleteRows="0" sort="0" autoFilter="0" pivotTables="0"/>
  <mergeCells count="107">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L32:L33"/>
    <mergeCell ref="M32:M33"/>
    <mergeCell ref="N32:N33"/>
    <mergeCell ref="J33:K33"/>
    <mergeCell ref="A18:N18"/>
    <mergeCell ref="A19:N19"/>
    <mergeCell ref="A20:N24"/>
    <mergeCell ref="A25:N25"/>
    <mergeCell ref="A26:N30"/>
    <mergeCell ref="A31:K31"/>
    <mergeCell ref="L31:N31"/>
    <mergeCell ref="A34:C34"/>
    <mergeCell ref="J34:K34"/>
    <mergeCell ref="A35:C35"/>
    <mergeCell ref="J35:K35"/>
    <mergeCell ref="A36:C36"/>
    <mergeCell ref="J36:K36"/>
    <mergeCell ref="A32:C33"/>
    <mergeCell ref="D32:F32"/>
    <mergeCell ref="G32:K32"/>
    <mergeCell ref="A40:C40"/>
    <mergeCell ref="J40:K40"/>
    <mergeCell ref="A41:C41"/>
    <mergeCell ref="J41:K41"/>
    <mergeCell ref="A42:C42"/>
    <mergeCell ref="J42:K42"/>
    <mergeCell ref="A37:C37"/>
    <mergeCell ref="J37:K37"/>
    <mergeCell ref="A38:C38"/>
    <mergeCell ref="J38:K38"/>
    <mergeCell ref="A39:C39"/>
    <mergeCell ref="J39:K39"/>
    <mergeCell ref="A46:N46"/>
    <mergeCell ref="A47:N67"/>
    <mergeCell ref="A45:C45"/>
    <mergeCell ref="D45:F45"/>
    <mergeCell ref="G45:H45"/>
    <mergeCell ref="I45:J45"/>
    <mergeCell ref="K45:L45"/>
    <mergeCell ref="M45:N45"/>
    <mergeCell ref="A43:N43"/>
    <mergeCell ref="A44:C44"/>
    <mergeCell ref="D44:F44"/>
    <mergeCell ref="G44:H44"/>
    <mergeCell ref="I44:J44"/>
    <mergeCell ref="K44:L44"/>
    <mergeCell ref="M44:N44"/>
  </mergeCells>
  <conditionalFormatting sqref="C6">
    <cfRule type="notContainsBlanks" dxfId="31" priority="6">
      <formula>LEN(TRIM(C6))&gt;0</formula>
    </cfRule>
  </conditionalFormatting>
  <conditionalFormatting sqref="C11:D16">
    <cfRule type="notContainsBlanks" dxfId="30" priority="1">
      <formula>LEN(TRIM(C11))&gt;0</formula>
    </cfRule>
  </conditionalFormatting>
  <conditionalFormatting sqref="C8:E9">
    <cfRule type="notContainsBlanks" dxfId="29" priority="5">
      <formula>LEN(TRIM(C8))&gt;0</formula>
    </cfRule>
  </conditionalFormatting>
  <conditionalFormatting sqref="G45:H45">
    <cfRule type="notContainsBlanks" dxfId="28" priority="8">
      <formula>LEN(TRIM(G45))&gt;0</formula>
    </cfRule>
  </conditionalFormatting>
  <conditionalFormatting sqref="I5:K9">
    <cfRule type="notContainsBlanks" dxfId="27" priority="4">
      <formula>LEN(TRIM(I5))&gt;0</formula>
    </cfRule>
  </conditionalFormatting>
  <conditionalFormatting sqref="L5:N7">
    <cfRule type="notContainsBlanks" dxfId="26" priority="3">
      <formula>LEN(TRIM(L5))&gt;0</formula>
    </cfRule>
  </conditionalFormatting>
  <conditionalFormatting sqref="L9:N9">
    <cfRule type="notContainsBlanks" dxfId="25" priority="2">
      <formula>LEN(TRIM(L9))&gt;0</formula>
    </cfRule>
  </conditionalFormatting>
  <conditionalFormatting sqref="M1:N1 D2:K3 N2:N3 G11:I16 A18:N18 A20:N24 A26:N30 D34:K42">
    <cfRule type="notContainsBlanks" dxfId="24" priority="7">
      <formula>LEN(TRIM(A1))&gt;0</formula>
    </cfRule>
  </conditionalFormatting>
  <dataValidations count="4">
    <dataValidation type="list" allowBlank="1" showInputMessage="1" showErrorMessage="1" sqref="G15:I16" xr:uid="{0B0FB290-4B57-4F2C-9BE4-08C4DC7DDC8A}">
      <formula1>"Base of Drift, Clearwater Top, Surface Casing, Core Point, Lower Wab / RMZ top, Upper McMurray, Mid McMurray / RMZ Base, Beaverhill Lake, Total Depth"</formula1>
    </dataValidation>
    <dataValidation allowBlank="1" showInputMessage="1" showErrorMessage="1" prompt="Insert any additional comments &amp; photos if necessary " sqref="A47:N67" xr:uid="{11F1A76C-0D60-4753-8E56-5C042C0E5D74}"/>
    <dataValidation allowBlank="1" showInputMessage="1" showErrorMessage="1" prompt="UWI Here" sqref="D3:K3" xr:uid="{F94328DD-CE5B-425B-8029-4FAAB9C31C6A}"/>
    <dataValidation allowBlank="1" showInputMessage="1" showErrorMessage="1" prompt="Well Name Here" sqref="D2:K2" xr:uid="{DC4E2CBC-86E6-4B7E-9531-912361CD378A}"/>
  </dataValidations>
  <pageMargins left="0.7" right="0.7" top="0.75" bottom="0.75" header="0.3" footer="0.3"/>
  <pageSetup scale="60"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05D25-70C8-49A8-9D2E-42365CAA3A23}">
  <dimension ref="A1:N68"/>
  <sheetViews>
    <sheetView topLeftCell="D1" zoomScaleNormal="100" workbookViewId="0">
      <selection activeCell="N32" sqref="N32:N33"/>
    </sheetView>
  </sheetViews>
  <sheetFormatPr baseColWidth="10" defaultColWidth="8.83203125" defaultRowHeight="15" x14ac:dyDescent="0.2"/>
  <cols>
    <col min="1" max="14" width="10.6640625" customWidth="1"/>
  </cols>
  <sheetData>
    <row r="1" spans="1:14" ht="22" x14ac:dyDescent="0.3">
      <c r="A1" s="109"/>
      <c r="B1" s="110"/>
      <c r="C1" s="110"/>
      <c r="D1" s="113" t="s">
        <v>0</v>
      </c>
      <c r="E1" s="114"/>
      <c r="F1" s="114"/>
      <c r="G1" s="114"/>
      <c r="H1" s="114"/>
      <c r="I1" s="114"/>
      <c r="J1" s="114"/>
      <c r="K1" s="115"/>
      <c r="L1" s="4" t="s">
        <v>7</v>
      </c>
      <c r="M1" s="116">
        <v>46086</v>
      </c>
      <c r="N1" s="117"/>
    </row>
    <row r="2" spans="1:14" ht="21" customHeight="1" x14ac:dyDescent="0.3">
      <c r="A2" s="111"/>
      <c r="B2" s="112"/>
      <c r="C2" s="112"/>
      <c r="D2" s="118" t="s">
        <v>67</v>
      </c>
      <c r="E2" s="119"/>
      <c r="F2" s="119"/>
      <c r="G2" s="119"/>
      <c r="H2" s="119"/>
      <c r="I2" s="119"/>
      <c r="J2" s="119"/>
      <c r="K2" s="120"/>
      <c r="L2" s="121" t="s">
        <v>1</v>
      </c>
      <c r="M2" s="122"/>
      <c r="N2" s="15">
        <v>3</v>
      </c>
    </row>
    <row r="3" spans="1:14" ht="24.75" customHeight="1" thickBot="1" x14ac:dyDescent="0.35">
      <c r="A3" s="111"/>
      <c r="B3" s="112"/>
      <c r="C3" s="112"/>
      <c r="D3" s="123" t="s">
        <v>68</v>
      </c>
      <c r="E3" s="124"/>
      <c r="F3" s="124"/>
      <c r="G3" s="124"/>
      <c r="H3" s="124"/>
      <c r="I3" s="124"/>
      <c r="J3" s="124"/>
      <c r="K3" s="125"/>
      <c r="L3" s="126" t="s">
        <v>56</v>
      </c>
      <c r="M3" s="127"/>
      <c r="N3" s="16">
        <v>11</v>
      </c>
    </row>
    <row r="4" spans="1:14" x14ac:dyDescent="0.2">
      <c r="A4" s="140" t="s">
        <v>2</v>
      </c>
      <c r="B4" s="141"/>
      <c r="C4" s="141"/>
      <c r="D4" s="141"/>
      <c r="E4" s="141"/>
      <c r="F4" s="141"/>
      <c r="G4" s="141"/>
      <c r="H4" s="141"/>
      <c r="I4" s="141"/>
      <c r="J4" s="141"/>
      <c r="K4" s="141"/>
      <c r="L4" s="141" t="s">
        <v>62</v>
      </c>
      <c r="M4" s="141"/>
      <c r="N4" s="142"/>
    </row>
    <row r="5" spans="1:14" x14ac:dyDescent="0.2">
      <c r="A5" s="91" t="s">
        <v>3</v>
      </c>
      <c r="B5" s="92"/>
      <c r="C5" s="43" t="s">
        <v>4</v>
      </c>
      <c r="D5" s="43"/>
      <c r="E5" s="43"/>
      <c r="F5" s="46" t="s">
        <v>5</v>
      </c>
      <c r="G5" s="46"/>
      <c r="H5" s="46"/>
      <c r="I5" s="143" t="s">
        <v>71</v>
      </c>
      <c r="J5" s="143"/>
      <c r="K5" s="143"/>
      <c r="L5" s="94" t="s">
        <v>75</v>
      </c>
      <c r="M5" s="94"/>
      <c r="N5" s="139"/>
    </row>
    <row r="6" spans="1:14" x14ac:dyDescent="0.2">
      <c r="A6" s="128" t="s">
        <v>8</v>
      </c>
      <c r="B6" s="129"/>
      <c r="C6" s="130" t="s">
        <v>69</v>
      </c>
      <c r="D6" s="131"/>
      <c r="E6" s="132"/>
      <c r="F6" s="103" t="s">
        <v>6</v>
      </c>
      <c r="G6" s="103"/>
      <c r="H6" s="6" t="s">
        <v>11</v>
      </c>
      <c r="I6" s="94" t="s">
        <v>72</v>
      </c>
      <c r="J6" s="94"/>
      <c r="K6" s="94"/>
      <c r="L6" s="136" t="s">
        <v>76</v>
      </c>
      <c r="M6" s="137"/>
      <c r="N6" s="138"/>
    </row>
    <row r="7" spans="1:14" x14ac:dyDescent="0.2">
      <c r="A7" s="128"/>
      <c r="B7" s="129"/>
      <c r="C7" s="133"/>
      <c r="D7" s="134"/>
      <c r="E7" s="135"/>
      <c r="F7" s="103"/>
      <c r="G7" s="103"/>
      <c r="H7" s="6" t="s">
        <v>12</v>
      </c>
      <c r="I7" s="94" t="s">
        <v>91</v>
      </c>
      <c r="J7" s="94"/>
      <c r="K7" s="94"/>
      <c r="L7" s="94" t="s">
        <v>92</v>
      </c>
      <c r="M7" s="94"/>
      <c r="N7" s="139"/>
    </row>
    <row r="8" spans="1:14" x14ac:dyDescent="0.2">
      <c r="A8" s="102" t="s">
        <v>9</v>
      </c>
      <c r="B8" s="103"/>
      <c r="C8" s="104" t="s">
        <v>70</v>
      </c>
      <c r="D8" s="104"/>
      <c r="E8" s="104"/>
      <c r="F8" s="103" t="s">
        <v>10</v>
      </c>
      <c r="G8" s="103"/>
      <c r="H8" s="2" t="s">
        <v>11</v>
      </c>
      <c r="I8" s="94" t="s">
        <v>73</v>
      </c>
      <c r="J8" s="94"/>
      <c r="K8" s="94"/>
      <c r="L8" s="105" t="s">
        <v>55</v>
      </c>
      <c r="M8" s="106"/>
      <c r="N8" s="107"/>
    </row>
    <row r="9" spans="1:14" x14ac:dyDescent="0.2">
      <c r="A9" s="102"/>
      <c r="B9" s="103"/>
      <c r="C9" s="104"/>
      <c r="D9" s="104"/>
      <c r="E9" s="104"/>
      <c r="F9" s="103"/>
      <c r="G9" s="103"/>
      <c r="H9" s="2" t="s">
        <v>12</v>
      </c>
      <c r="I9" s="94" t="s">
        <v>74</v>
      </c>
      <c r="J9" s="94"/>
      <c r="K9" s="94"/>
      <c r="L9" s="104" t="s">
        <v>78</v>
      </c>
      <c r="M9" s="104"/>
      <c r="N9" s="108"/>
    </row>
    <row r="10" spans="1:14" x14ac:dyDescent="0.2">
      <c r="A10" s="31" t="s">
        <v>31</v>
      </c>
      <c r="B10" s="32"/>
      <c r="C10" s="32"/>
      <c r="D10" s="32"/>
      <c r="E10" s="32"/>
      <c r="F10" s="32"/>
      <c r="G10" s="32"/>
      <c r="H10" s="32"/>
      <c r="I10" s="32"/>
      <c r="J10" s="32"/>
      <c r="K10" s="32"/>
      <c r="L10" s="32"/>
      <c r="M10" s="32"/>
      <c r="N10" s="33"/>
    </row>
    <row r="11" spans="1:14" x14ac:dyDescent="0.2">
      <c r="A11" s="91" t="s">
        <v>13</v>
      </c>
      <c r="B11" s="92"/>
      <c r="C11" s="100" t="s">
        <v>80</v>
      </c>
      <c r="D11" s="94"/>
      <c r="E11" s="92" t="s">
        <v>63</v>
      </c>
      <c r="F11" s="92"/>
      <c r="G11" s="93">
        <v>238</v>
      </c>
      <c r="H11" s="93"/>
      <c r="I11" s="93"/>
      <c r="J11" s="46" t="s">
        <v>27</v>
      </c>
      <c r="K11" s="101"/>
      <c r="L11" s="3" t="s">
        <v>28</v>
      </c>
      <c r="M11" s="3" t="s">
        <v>29</v>
      </c>
      <c r="N11" s="5" t="s">
        <v>30</v>
      </c>
    </row>
    <row r="12" spans="1:14" x14ac:dyDescent="0.2">
      <c r="A12" s="91" t="s">
        <v>14</v>
      </c>
      <c r="B12" s="92"/>
      <c r="C12" s="94" t="s">
        <v>79</v>
      </c>
      <c r="D12" s="94"/>
      <c r="E12" s="92" t="s">
        <v>19</v>
      </c>
      <c r="F12" s="92"/>
      <c r="G12" s="93">
        <f>IF(G11,G11-'Mar 04'!G11,"")</f>
        <v>238</v>
      </c>
      <c r="H12" s="93"/>
      <c r="I12" s="93"/>
      <c r="J12" s="92" t="s">
        <v>24</v>
      </c>
      <c r="K12" s="92"/>
      <c r="L12" s="14">
        <v>251</v>
      </c>
      <c r="M12" s="14">
        <v>88.9</v>
      </c>
      <c r="N12" s="9" t="s">
        <v>84</v>
      </c>
    </row>
    <row r="13" spans="1:14" x14ac:dyDescent="0.2">
      <c r="A13" s="91" t="s">
        <v>15</v>
      </c>
      <c r="B13" s="92"/>
      <c r="C13" s="99">
        <v>46075</v>
      </c>
      <c r="D13" s="99"/>
      <c r="E13" s="92" t="s">
        <v>20</v>
      </c>
      <c r="F13" s="92"/>
      <c r="G13" s="94">
        <f>15-5.4</f>
        <v>9.6</v>
      </c>
      <c r="H13" s="94"/>
      <c r="I13" s="94"/>
      <c r="J13" s="92" t="s">
        <v>25</v>
      </c>
      <c r="K13" s="92"/>
      <c r="L13" s="14">
        <v>177.8</v>
      </c>
      <c r="M13" s="14">
        <v>88.9</v>
      </c>
      <c r="N13" s="9" t="s">
        <v>84</v>
      </c>
    </row>
    <row r="14" spans="1:14" x14ac:dyDescent="0.2">
      <c r="A14" s="91" t="s">
        <v>16</v>
      </c>
      <c r="B14" s="92"/>
      <c r="C14" s="93">
        <v>593.79999999999995</v>
      </c>
      <c r="D14" s="93"/>
      <c r="E14" s="92" t="s">
        <v>21</v>
      </c>
      <c r="F14" s="92"/>
      <c r="G14" s="98">
        <f>IF(G13="","",G12/G13)</f>
        <v>24.791666666666668</v>
      </c>
      <c r="H14" s="98"/>
      <c r="I14" s="98"/>
      <c r="J14" s="92" t="s">
        <v>26</v>
      </c>
      <c r="K14" s="92"/>
      <c r="L14" s="14">
        <v>159</v>
      </c>
      <c r="M14" s="14"/>
      <c r="N14" s="9" t="s">
        <v>85</v>
      </c>
    </row>
    <row r="15" spans="1:14" x14ac:dyDescent="0.2">
      <c r="A15" s="91" t="s">
        <v>17</v>
      </c>
      <c r="B15" s="92"/>
      <c r="C15" s="93">
        <v>589.70000000000005</v>
      </c>
      <c r="D15" s="93"/>
      <c r="E15" s="92" t="s">
        <v>22</v>
      </c>
      <c r="F15" s="92"/>
      <c r="G15" s="94" t="s">
        <v>36</v>
      </c>
      <c r="H15" s="94"/>
      <c r="I15" s="94"/>
      <c r="J15" s="92" t="s">
        <v>83</v>
      </c>
      <c r="K15" s="92"/>
      <c r="L15" s="14">
        <v>114.3</v>
      </c>
      <c r="M15" s="14"/>
      <c r="N15" s="9" t="s">
        <v>85</v>
      </c>
    </row>
    <row r="16" spans="1:14" x14ac:dyDescent="0.2">
      <c r="A16" s="91" t="s">
        <v>18</v>
      </c>
      <c r="B16" s="92"/>
      <c r="C16" s="93">
        <f>IF(C$15="","",C$14-C$15)</f>
        <v>4.0999999999999091</v>
      </c>
      <c r="D16" s="93"/>
      <c r="E16" s="92" t="s">
        <v>23</v>
      </c>
      <c r="F16" s="92"/>
      <c r="G16" s="94" t="s">
        <v>44</v>
      </c>
      <c r="H16" s="94"/>
      <c r="I16" s="94"/>
      <c r="J16" s="92"/>
      <c r="K16" s="92"/>
      <c r="L16" s="14"/>
      <c r="M16" s="14"/>
      <c r="N16" s="9"/>
    </row>
    <row r="17" spans="1:14" ht="16" thickBot="1" x14ac:dyDescent="0.25">
      <c r="A17" s="95" t="s">
        <v>57</v>
      </c>
      <c r="B17" s="96"/>
      <c r="C17" s="96"/>
      <c r="D17" s="96"/>
      <c r="E17" s="96"/>
      <c r="F17" s="96"/>
      <c r="G17" s="96"/>
      <c r="H17" s="96"/>
      <c r="I17" s="96"/>
      <c r="J17" s="96"/>
      <c r="K17" s="96"/>
      <c r="L17" s="96"/>
      <c r="M17" s="96"/>
      <c r="N17" s="97"/>
    </row>
    <row r="18" spans="1:14" ht="16" thickBot="1" x14ac:dyDescent="0.25">
      <c r="A18" s="76" t="s">
        <v>94</v>
      </c>
      <c r="B18" s="77"/>
      <c r="C18" s="77"/>
      <c r="D18" s="77"/>
      <c r="E18" s="77"/>
      <c r="F18" s="77"/>
      <c r="G18" s="77"/>
      <c r="H18" s="77"/>
      <c r="I18" s="77"/>
      <c r="J18" s="77"/>
      <c r="K18" s="77"/>
      <c r="L18" s="77"/>
      <c r="M18" s="77"/>
      <c r="N18" s="78"/>
    </row>
    <row r="19" spans="1:14" ht="16" thickBot="1" x14ac:dyDescent="0.25">
      <c r="A19" s="79" t="s">
        <v>32</v>
      </c>
      <c r="B19" s="80"/>
      <c r="C19" s="80"/>
      <c r="D19" s="80"/>
      <c r="E19" s="80"/>
      <c r="F19" s="80"/>
      <c r="G19" s="80"/>
      <c r="H19" s="80"/>
      <c r="I19" s="80"/>
      <c r="J19" s="80"/>
      <c r="K19" s="80"/>
      <c r="L19" s="80"/>
      <c r="M19" s="80"/>
      <c r="N19" s="81"/>
    </row>
    <row r="20" spans="1:14" x14ac:dyDescent="0.2">
      <c r="A20" s="144" t="s">
        <v>93</v>
      </c>
      <c r="B20" s="145"/>
      <c r="C20" s="145"/>
      <c r="D20" s="145"/>
      <c r="E20" s="145"/>
      <c r="F20" s="145"/>
      <c r="G20" s="145"/>
      <c r="H20" s="145"/>
      <c r="I20" s="145"/>
      <c r="J20" s="145"/>
      <c r="K20" s="145"/>
      <c r="L20" s="145"/>
      <c r="M20" s="145"/>
      <c r="N20" s="146"/>
    </row>
    <row r="21" spans="1:14" x14ac:dyDescent="0.2">
      <c r="A21" s="147"/>
      <c r="B21" s="148"/>
      <c r="C21" s="148"/>
      <c r="D21" s="148"/>
      <c r="E21" s="148"/>
      <c r="F21" s="148"/>
      <c r="G21" s="148"/>
      <c r="H21" s="148"/>
      <c r="I21" s="148"/>
      <c r="J21" s="148"/>
      <c r="K21" s="148"/>
      <c r="L21" s="148"/>
      <c r="M21" s="148"/>
      <c r="N21" s="149"/>
    </row>
    <row r="22" spans="1:14" ht="19.5" customHeight="1" thickBot="1" x14ac:dyDescent="0.25">
      <c r="A22" s="147"/>
      <c r="B22" s="148"/>
      <c r="C22" s="148"/>
      <c r="D22" s="148"/>
      <c r="E22" s="148"/>
      <c r="F22" s="148"/>
      <c r="G22" s="148"/>
      <c r="H22" s="148"/>
      <c r="I22" s="148"/>
      <c r="J22" s="148"/>
      <c r="K22" s="148"/>
      <c r="L22" s="148"/>
      <c r="M22" s="148"/>
      <c r="N22" s="149"/>
    </row>
    <row r="23" spans="1:14" ht="15" hidden="1" customHeight="1" thickBot="1" x14ac:dyDescent="0.25">
      <c r="A23" s="147"/>
      <c r="B23" s="148"/>
      <c r="C23" s="148"/>
      <c r="D23" s="148"/>
      <c r="E23" s="148"/>
      <c r="F23" s="148"/>
      <c r="G23" s="148"/>
      <c r="H23" s="148"/>
      <c r="I23" s="148"/>
      <c r="J23" s="148"/>
      <c r="K23" s="148"/>
      <c r="L23" s="148"/>
      <c r="M23" s="148"/>
      <c r="N23" s="149"/>
    </row>
    <row r="24" spans="1:14" ht="15" hidden="1" customHeight="1" thickBot="1" x14ac:dyDescent="0.25">
      <c r="A24" s="150"/>
      <c r="B24" s="151"/>
      <c r="C24" s="151"/>
      <c r="D24" s="151"/>
      <c r="E24" s="151"/>
      <c r="F24" s="151"/>
      <c r="G24" s="151"/>
      <c r="H24" s="151"/>
      <c r="I24" s="151"/>
      <c r="J24" s="151"/>
      <c r="K24" s="151"/>
      <c r="L24" s="151"/>
      <c r="M24" s="151"/>
      <c r="N24" s="152"/>
    </row>
    <row r="25" spans="1:14" ht="16" thickBot="1" x14ac:dyDescent="0.25">
      <c r="A25" s="79" t="s">
        <v>33</v>
      </c>
      <c r="B25" s="80"/>
      <c r="C25" s="80"/>
      <c r="D25" s="80"/>
      <c r="E25" s="80"/>
      <c r="F25" s="80"/>
      <c r="G25" s="80"/>
      <c r="H25" s="80"/>
      <c r="I25" s="80"/>
      <c r="J25" s="80"/>
      <c r="K25" s="80"/>
      <c r="L25" s="80"/>
      <c r="M25" s="80"/>
      <c r="N25" s="81"/>
    </row>
    <row r="26" spans="1:14" x14ac:dyDescent="0.2">
      <c r="A26" s="144" t="s">
        <v>90</v>
      </c>
      <c r="B26" s="145"/>
      <c r="C26" s="145"/>
      <c r="D26" s="145"/>
      <c r="E26" s="145"/>
      <c r="F26" s="145"/>
      <c r="G26" s="145"/>
      <c r="H26" s="145"/>
      <c r="I26" s="145"/>
      <c r="J26" s="145"/>
      <c r="K26" s="145"/>
      <c r="L26" s="145"/>
      <c r="M26" s="145"/>
      <c r="N26" s="146"/>
    </row>
    <row r="27" spans="1:14" ht="15" customHeight="1" thickBot="1" x14ac:dyDescent="0.25">
      <c r="A27" s="147"/>
      <c r="B27" s="148"/>
      <c r="C27" s="148"/>
      <c r="D27" s="148"/>
      <c r="E27" s="148"/>
      <c r="F27" s="148"/>
      <c r="G27" s="148"/>
      <c r="H27" s="148"/>
      <c r="I27" s="148"/>
      <c r="J27" s="148"/>
      <c r="K27" s="148"/>
      <c r="L27" s="148"/>
      <c r="M27" s="148"/>
      <c r="N27" s="149"/>
    </row>
    <row r="28" spans="1:14" ht="15" hidden="1" customHeight="1" thickBot="1" x14ac:dyDescent="0.25">
      <c r="A28" s="147"/>
      <c r="B28" s="148"/>
      <c r="C28" s="148"/>
      <c r="D28" s="148"/>
      <c r="E28" s="148"/>
      <c r="F28" s="148"/>
      <c r="G28" s="148"/>
      <c r="H28" s="148"/>
      <c r="I28" s="148"/>
      <c r="J28" s="148"/>
      <c r="K28" s="148"/>
      <c r="L28" s="148"/>
      <c r="M28" s="148"/>
      <c r="N28" s="149"/>
    </row>
    <row r="29" spans="1:14" ht="15" hidden="1" customHeight="1" thickBot="1" x14ac:dyDescent="0.25">
      <c r="A29" s="147"/>
      <c r="B29" s="148"/>
      <c r="C29" s="148"/>
      <c r="D29" s="148"/>
      <c r="E29" s="148"/>
      <c r="F29" s="148"/>
      <c r="G29" s="148"/>
      <c r="H29" s="148"/>
      <c r="I29" s="148"/>
      <c r="J29" s="148"/>
      <c r="K29" s="148"/>
      <c r="L29" s="148"/>
      <c r="M29" s="148"/>
      <c r="N29" s="149"/>
    </row>
    <row r="30" spans="1:14" ht="15" hidden="1" customHeight="1" thickBot="1" x14ac:dyDescent="0.25">
      <c r="A30" s="150"/>
      <c r="B30" s="151"/>
      <c r="C30" s="151"/>
      <c r="D30" s="151"/>
      <c r="E30" s="151"/>
      <c r="F30" s="151"/>
      <c r="G30" s="151"/>
      <c r="H30" s="151"/>
      <c r="I30" s="151"/>
      <c r="J30" s="151"/>
      <c r="K30" s="151"/>
      <c r="L30" s="151"/>
      <c r="M30" s="151"/>
      <c r="N30" s="152"/>
    </row>
    <row r="31" spans="1:14" ht="16" thickBot="1" x14ac:dyDescent="0.25">
      <c r="A31" s="79" t="s">
        <v>34</v>
      </c>
      <c r="B31" s="80"/>
      <c r="C31" s="80"/>
      <c r="D31" s="80"/>
      <c r="E31" s="80"/>
      <c r="F31" s="80"/>
      <c r="G31" s="80"/>
      <c r="H31" s="80"/>
      <c r="I31" s="80"/>
      <c r="J31" s="80"/>
      <c r="K31" s="81"/>
      <c r="L31" s="79" t="s">
        <v>58</v>
      </c>
      <c r="M31" s="80"/>
      <c r="N31" s="81"/>
    </row>
    <row r="32" spans="1:14" x14ac:dyDescent="0.2">
      <c r="A32" s="58" t="s">
        <v>47</v>
      </c>
      <c r="B32" s="59"/>
      <c r="C32" s="60"/>
      <c r="D32" s="64" t="s">
        <v>40</v>
      </c>
      <c r="E32" s="64"/>
      <c r="F32" s="64"/>
      <c r="G32" s="65" t="s">
        <v>43</v>
      </c>
      <c r="H32" s="66"/>
      <c r="I32" s="66"/>
      <c r="J32" s="66"/>
      <c r="K32" s="67"/>
      <c r="L32" s="68" t="s">
        <v>64</v>
      </c>
      <c r="M32" s="70" t="s">
        <v>61</v>
      </c>
      <c r="N32" s="72" t="s">
        <v>59</v>
      </c>
    </row>
    <row r="33" spans="1:14" x14ac:dyDescent="0.2">
      <c r="A33" s="61"/>
      <c r="B33" s="62"/>
      <c r="C33" s="63"/>
      <c r="D33" s="3" t="s">
        <v>42</v>
      </c>
      <c r="E33" s="3" t="s">
        <v>45</v>
      </c>
      <c r="F33" s="3" t="s">
        <v>65</v>
      </c>
      <c r="G33" s="3" t="s">
        <v>42</v>
      </c>
      <c r="H33" s="3" t="s">
        <v>41</v>
      </c>
      <c r="I33" s="3" t="s">
        <v>65</v>
      </c>
      <c r="J33" s="74" t="s">
        <v>46</v>
      </c>
      <c r="K33" s="75"/>
      <c r="L33" s="69"/>
      <c r="M33" s="71"/>
      <c r="N33" s="73"/>
    </row>
    <row r="34" spans="1:14" x14ac:dyDescent="0.2">
      <c r="A34" s="48" t="s">
        <v>25</v>
      </c>
      <c r="B34" s="49"/>
      <c r="C34" s="50"/>
      <c r="D34" s="17">
        <v>85.799999999999955</v>
      </c>
      <c r="E34" s="18">
        <f>IF(F34="","",C$14-F34)</f>
        <v>85.799999999999955</v>
      </c>
      <c r="F34" s="17">
        <v>508</v>
      </c>
      <c r="G34" s="14">
        <v>88.9</v>
      </c>
      <c r="H34" s="14">
        <v>88.9</v>
      </c>
      <c r="I34" s="18">
        <f>IF(H34="","",C$14-H34)</f>
        <v>504.9</v>
      </c>
      <c r="J34" s="51">
        <f>IF(OR(H34="",F34=""),"",E34-H34)</f>
        <v>-3.1000000000000512</v>
      </c>
      <c r="K34" s="52"/>
      <c r="L34" s="23">
        <v>100</v>
      </c>
      <c r="M34" s="24">
        <v>1.8939393939393938</v>
      </c>
      <c r="N34" s="9">
        <v>19.899999999999999</v>
      </c>
    </row>
    <row r="35" spans="1:14" x14ac:dyDescent="0.2">
      <c r="A35" s="48" t="s">
        <v>81</v>
      </c>
      <c r="B35" s="49"/>
      <c r="C35" s="50"/>
      <c r="D35" s="17">
        <v>85.799999999999955</v>
      </c>
      <c r="E35" s="18">
        <f t="shared" ref="E35:E42" si="0">IF(F35="","",C$14-F35)</f>
        <v>85.799999999999955</v>
      </c>
      <c r="F35" s="17">
        <v>508</v>
      </c>
      <c r="G35" s="14">
        <v>98.9</v>
      </c>
      <c r="H35" s="14">
        <v>98.9</v>
      </c>
      <c r="I35" s="18">
        <f t="shared" ref="I35:I42" si="1">IF(H35="","",C$14-H35)</f>
        <v>494.9</v>
      </c>
      <c r="J35" s="51">
        <f t="shared" ref="J35:J42" si="2">IF(OR(H35="",F35=""),"",E35-H35)</f>
        <v>-13.100000000000051</v>
      </c>
      <c r="K35" s="52"/>
      <c r="L35" s="23">
        <v>150</v>
      </c>
      <c r="M35" s="24">
        <v>3.0303030303030303</v>
      </c>
      <c r="N35" s="9">
        <v>18.2</v>
      </c>
    </row>
    <row r="36" spans="1:14" x14ac:dyDescent="0.2">
      <c r="A36" s="48" t="s">
        <v>35</v>
      </c>
      <c r="B36" s="49"/>
      <c r="C36" s="50"/>
      <c r="D36" s="17">
        <v>187.09999999999997</v>
      </c>
      <c r="E36" s="18">
        <f t="shared" si="0"/>
        <v>187.09999999999997</v>
      </c>
      <c r="F36" s="17">
        <v>406.7</v>
      </c>
      <c r="G36" s="14"/>
      <c r="H36" s="14"/>
      <c r="I36" s="18" t="str">
        <f t="shared" si="1"/>
        <v/>
      </c>
      <c r="J36" s="51" t="str">
        <f t="shared" si="2"/>
        <v/>
      </c>
      <c r="K36" s="52"/>
      <c r="L36" s="23">
        <v>154</v>
      </c>
      <c r="M36" s="22">
        <v>2.5</v>
      </c>
      <c r="N36" s="25">
        <v>18</v>
      </c>
    </row>
    <row r="37" spans="1:14" x14ac:dyDescent="0.2">
      <c r="A37" s="48" t="s">
        <v>36</v>
      </c>
      <c r="B37" s="49"/>
      <c r="C37" s="50"/>
      <c r="D37" s="17">
        <v>187.09999999999997</v>
      </c>
      <c r="E37" s="18">
        <f t="shared" si="0"/>
        <v>187.09999999999997</v>
      </c>
      <c r="F37" s="17">
        <v>406.7</v>
      </c>
      <c r="G37" s="14"/>
      <c r="H37" s="14"/>
      <c r="I37" s="18" t="str">
        <f t="shared" si="1"/>
        <v/>
      </c>
      <c r="J37" s="51" t="str">
        <f t="shared" si="2"/>
        <v/>
      </c>
      <c r="K37" s="52"/>
      <c r="L37" s="23">
        <v>180</v>
      </c>
      <c r="M37" s="22">
        <v>2.2999999999999998</v>
      </c>
      <c r="N37" s="9">
        <v>23.2</v>
      </c>
    </row>
    <row r="38" spans="1:14" x14ac:dyDescent="0.2">
      <c r="A38" s="48" t="s">
        <v>82</v>
      </c>
      <c r="B38" s="49"/>
      <c r="C38" s="50"/>
      <c r="D38" s="17">
        <v>242.19999999999993</v>
      </c>
      <c r="E38" s="18">
        <f t="shared" si="0"/>
        <v>242.19999999999993</v>
      </c>
      <c r="F38" s="17">
        <v>351.6</v>
      </c>
      <c r="G38" s="14"/>
      <c r="H38" s="14"/>
      <c r="I38" s="18" t="str">
        <f t="shared" si="1"/>
        <v/>
      </c>
      <c r="J38" s="51" t="str">
        <f t="shared" si="2"/>
        <v/>
      </c>
      <c r="K38" s="52"/>
      <c r="L38" s="23">
        <v>205</v>
      </c>
      <c r="M38" s="22">
        <v>2.1</v>
      </c>
      <c r="N38" s="9">
        <v>20.3</v>
      </c>
    </row>
    <row r="39" spans="1:14" x14ac:dyDescent="0.2">
      <c r="A39" s="48" t="s">
        <v>37</v>
      </c>
      <c r="B39" s="49"/>
      <c r="C39" s="50"/>
      <c r="D39" s="17">
        <v>244.29999999999995</v>
      </c>
      <c r="E39" s="18">
        <f t="shared" si="0"/>
        <v>244.29999999999995</v>
      </c>
      <c r="F39" s="17">
        <v>349.5</v>
      </c>
      <c r="G39" s="14"/>
      <c r="H39" s="14"/>
      <c r="I39" s="18" t="str">
        <f t="shared" si="1"/>
        <v/>
      </c>
      <c r="J39" s="51" t="str">
        <f t="shared" si="2"/>
        <v/>
      </c>
      <c r="K39" s="52"/>
      <c r="L39" s="23">
        <v>222</v>
      </c>
      <c r="M39" s="22">
        <v>1.9</v>
      </c>
      <c r="N39" s="9">
        <v>20</v>
      </c>
    </row>
    <row r="40" spans="1:14" x14ac:dyDescent="0.2">
      <c r="A40" s="48" t="s">
        <v>44</v>
      </c>
      <c r="B40" s="49"/>
      <c r="C40" s="50"/>
      <c r="D40" s="17">
        <v>247.19999999999993</v>
      </c>
      <c r="E40" s="18">
        <f t="shared" si="0"/>
        <v>247.19999999999993</v>
      </c>
      <c r="F40" s="17">
        <v>346.6</v>
      </c>
      <c r="G40" s="14"/>
      <c r="H40" s="14"/>
      <c r="I40" s="18" t="str">
        <f t="shared" si="1"/>
        <v/>
      </c>
      <c r="J40" s="51" t="str">
        <f t="shared" si="2"/>
        <v/>
      </c>
      <c r="K40" s="52"/>
      <c r="L40" s="10"/>
      <c r="M40" s="7"/>
      <c r="N40" s="11"/>
    </row>
    <row r="41" spans="1:14" x14ac:dyDescent="0.2">
      <c r="A41" s="48" t="s">
        <v>38</v>
      </c>
      <c r="B41" s="49"/>
      <c r="C41" s="50"/>
      <c r="D41" s="17">
        <v>324.19999999999993</v>
      </c>
      <c r="E41" s="18">
        <f t="shared" si="0"/>
        <v>324.19999999999993</v>
      </c>
      <c r="F41" s="17">
        <v>269.60000000000002</v>
      </c>
      <c r="G41" s="14"/>
      <c r="H41" s="14"/>
      <c r="I41" s="18" t="str">
        <f t="shared" si="1"/>
        <v/>
      </c>
      <c r="J41" s="51" t="str">
        <f t="shared" si="2"/>
        <v/>
      </c>
      <c r="K41" s="52"/>
      <c r="L41" s="10"/>
      <c r="M41" s="7"/>
      <c r="N41" s="11"/>
    </row>
    <row r="42" spans="1:14" ht="16" thickBot="1" x14ac:dyDescent="0.25">
      <c r="A42" s="53" t="s">
        <v>39</v>
      </c>
      <c r="B42" s="54"/>
      <c r="C42" s="55"/>
      <c r="D42" s="19">
        <v>337.19999999999993</v>
      </c>
      <c r="E42" s="20">
        <f t="shared" si="0"/>
        <v>337.19999999999993</v>
      </c>
      <c r="F42" s="19">
        <v>256.60000000000002</v>
      </c>
      <c r="G42" s="21"/>
      <c r="H42" s="21"/>
      <c r="I42" s="20" t="str">
        <f t="shared" si="1"/>
        <v/>
      </c>
      <c r="J42" s="56" t="str">
        <f t="shared" si="2"/>
        <v/>
      </c>
      <c r="K42" s="57"/>
      <c r="L42" s="12"/>
      <c r="M42" s="8"/>
      <c r="N42" s="13"/>
    </row>
    <row r="43" spans="1:14" x14ac:dyDescent="0.2">
      <c r="A43" s="31" t="s">
        <v>48</v>
      </c>
      <c r="B43" s="32"/>
      <c r="C43" s="32"/>
      <c r="D43" s="32"/>
      <c r="E43" s="32"/>
      <c r="F43" s="32"/>
      <c r="G43" s="32"/>
      <c r="H43" s="32"/>
      <c r="I43" s="32"/>
      <c r="J43" s="32"/>
      <c r="K43" s="32"/>
      <c r="L43" s="32"/>
      <c r="M43" s="32"/>
      <c r="N43" s="33"/>
    </row>
    <row r="44" spans="1:14" x14ac:dyDescent="0.2">
      <c r="A44" s="45" t="s">
        <v>49</v>
      </c>
      <c r="B44" s="46"/>
      <c r="C44" s="46"/>
      <c r="D44" s="46" t="s">
        <v>50</v>
      </c>
      <c r="E44" s="46"/>
      <c r="F44" s="46"/>
      <c r="G44" s="46" t="s">
        <v>51</v>
      </c>
      <c r="H44" s="46"/>
      <c r="I44" s="46" t="s">
        <v>60</v>
      </c>
      <c r="J44" s="46"/>
      <c r="K44" s="46" t="s">
        <v>52</v>
      </c>
      <c r="L44" s="46"/>
      <c r="M44" s="46" t="s">
        <v>53</v>
      </c>
      <c r="N44" s="47"/>
    </row>
    <row r="45" spans="1:14" x14ac:dyDescent="0.2">
      <c r="A45" s="40">
        <v>136</v>
      </c>
      <c r="B45" s="41"/>
      <c r="C45" s="41"/>
      <c r="D45" s="41">
        <v>125.9</v>
      </c>
      <c r="E45" s="41"/>
      <c r="F45" s="41"/>
      <c r="G45" s="42">
        <f>IF(D45="","",(D45/A45))</f>
        <v>0.9257352941176471</v>
      </c>
      <c r="H45" s="42"/>
      <c r="I45" s="41">
        <v>98.9</v>
      </c>
      <c r="J45" s="41"/>
      <c r="K45" s="43">
        <v>53</v>
      </c>
      <c r="L45" s="43"/>
      <c r="M45" s="43">
        <v>15</v>
      </c>
      <c r="N45" s="44"/>
    </row>
    <row r="46" spans="1:14" x14ac:dyDescent="0.2">
      <c r="A46" s="31" t="s">
        <v>54</v>
      </c>
      <c r="B46" s="32"/>
      <c r="C46" s="32"/>
      <c r="D46" s="32"/>
      <c r="E46" s="32"/>
      <c r="F46" s="32"/>
      <c r="G46" s="32"/>
      <c r="H46" s="32"/>
      <c r="I46" s="32"/>
      <c r="J46" s="32"/>
      <c r="K46" s="32"/>
      <c r="L46" s="32"/>
      <c r="M46" s="32"/>
      <c r="N46" s="33"/>
    </row>
    <row r="47" spans="1:14" x14ac:dyDescent="0.2">
      <c r="A47" s="34" t="s">
        <v>95</v>
      </c>
      <c r="B47" s="35"/>
      <c r="C47" s="35"/>
      <c r="D47" s="35"/>
      <c r="E47" s="35"/>
      <c r="F47" s="35"/>
      <c r="G47" s="35"/>
      <c r="H47" s="35"/>
      <c r="I47" s="35"/>
      <c r="J47" s="35"/>
      <c r="K47" s="35"/>
      <c r="L47" s="35"/>
      <c r="M47" s="35"/>
      <c r="N47" s="36"/>
    </row>
    <row r="48" spans="1:14" x14ac:dyDescent="0.2">
      <c r="A48" s="34"/>
      <c r="B48" s="35"/>
      <c r="C48" s="35"/>
      <c r="D48" s="35"/>
      <c r="E48" s="35"/>
      <c r="F48" s="35"/>
      <c r="G48" s="35"/>
      <c r="H48" s="35"/>
      <c r="I48" s="35"/>
      <c r="J48" s="35"/>
      <c r="K48" s="35"/>
      <c r="L48" s="35"/>
      <c r="M48" s="35"/>
      <c r="N48" s="36"/>
    </row>
    <row r="49" spans="1:14" x14ac:dyDescent="0.2">
      <c r="A49" s="34"/>
      <c r="B49" s="35"/>
      <c r="C49" s="35"/>
      <c r="D49" s="35"/>
      <c r="E49" s="35"/>
      <c r="F49" s="35"/>
      <c r="G49" s="35"/>
      <c r="H49" s="35"/>
      <c r="I49" s="35"/>
      <c r="J49" s="35"/>
      <c r="K49" s="35"/>
      <c r="L49" s="35"/>
      <c r="M49" s="35"/>
      <c r="N49" s="36"/>
    </row>
    <row r="50" spans="1:14" x14ac:dyDescent="0.2">
      <c r="A50" s="34"/>
      <c r="B50" s="35"/>
      <c r="C50" s="35"/>
      <c r="D50" s="35"/>
      <c r="E50" s="35"/>
      <c r="F50" s="35"/>
      <c r="G50" s="35"/>
      <c r="H50" s="35"/>
      <c r="I50" s="35"/>
      <c r="J50" s="35"/>
      <c r="K50" s="35"/>
      <c r="L50" s="35"/>
      <c r="M50" s="35"/>
      <c r="N50" s="36"/>
    </row>
    <row r="51" spans="1:14" x14ac:dyDescent="0.2">
      <c r="A51" s="34"/>
      <c r="B51" s="35"/>
      <c r="C51" s="35"/>
      <c r="D51" s="35"/>
      <c r="E51" s="35"/>
      <c r="F51" s="35"/>
      <c r="G51" s="35"/>
      <c r="H51" s="35"/>
      <c r="I51" s="35"/>
      <c r="J51" s="35"/>
      <c r="K51" s="35"/>
      <c r="L51" s="35"/>
      <c r="M51" s="35"/>
      <c r="N51" s="36"/>
    </row>
    <row r="52" spans="1:14" x14ac:dyDescent="0.2">
      <c r="A52" s="34"/>
      <c r="B52" s="35"/>
      <c r="C52" s="35"/>
      <c r="D52" s="35"/>
      <c r="E52" s="35"/>
      <c r="F52" s="35"/>
      <c r="G52" s="35"/>
      <c r="H52" s="35"/>
      <c r="I52" s="35"/>
      <c r="J52" s="35"/>
      <c r="K52" s="35"/>
      <c r="L52" s="35"/>
      <c r="M52" s="35"/>
      <c r="N52" s="36"/>
    </row>
    <row r="53" spans="1:14" x14ac:dyDescent="0.2">
      <c r="A53" s="34"/>
      <c r="B53" s="35"/>
      <c r="C53" s="35"/>
      <c r="D53" s="35"/>
      <c r="E53" s="35"/>
      <c r="F53" s="35"/>
      <c r="G53" s="35"/>
      <c r="H53" s="35"/>
      <c r="I53" s="35"/>
      <c r="J53" s="35"/>
      <c r="K53" s="35"/>
      <c r="L53" s="35"/>
      <c r="M53" s="35"/>
      <c r="N53" s="36"/>
    </row>
    <row r="54" spans="1:14" x14ac:dyDescent="0.2">
      <c r="A54" s="34"/>
      <c r="B54" s="35"/>
      <c r="C54" s="35"/>
      <c r="D54" s="35"/>
      <c r="E54" s="35"/>
      <c r="F54" s="35"/>
      <c r="G54" s="35"/>
      <c r="H54" s="35"/>
      <c r="I54" s="35"/>
      <c r="J54" s="35"/>
      <c r="K54" s="35"/>
      <c r="L54" s="35"/>
      <c r="M54" s="35"/>
      <c r="N54" s="36"/>
    </row>
    <row r="55" spans="1:14" x14ac:dyDescent="0.2">
      <c r="A55" s="34"/>
      <c r="B55" s="35"/>
      <c r="C55" s="35"/>
      <c r="D55" s="35"/>
      <c r="E55" s="35"/>
      <c r="F55" s="35"/>
      <c r="G55" s="35"/>
      <c r="H55" s="35"/>
      <c r="I55" s="35"/>
      <c r="J55" s="35"/>
      <c r="K55" s="35"/>
      <c r="L55" s="35"/>
      <c r="M55" s="35"/>
      <c r="N55" s="36"/>
    </row>
    <row r="56" spans="1:14" x14ac:dyDescent="0.2">
      <c r="A56" s="34"/>
      <c r="B56" s="35"/>
      <c r="C56" s="35"/>
      <c r="D56" s="35"/>
      <c r="E56" s="35"/>
      <c r="F56" s="35"/>
      <c r="G56" s="35"/>
      <c r="H56" s="35"/>
      <c r="I56" s="35"/>
      <c r="J56" s="35"/>
      <c r="K56" s="35"/>
      <c r="L56" s="35"/>
      <c r="M56" s="35"/>
      <c r="N56" s="36"/>
    </row>
    <row r="57" spans="1:14" x14ac:dyDescent="0.2">
      <c r="A57" s="34"/>
      <c r="B57" s="35"/>
      <c r="C57" s="35"/>
      <c r="D57" s="35"/>
      <c r="E57" s="35"/>
      <c r="F57" s="35"/>
      <c r="G57" s="35"/>
      <c r="H57" s="35"/>
      <c r="I57" s="35"/>
      <c r="J57" s="35"/>
      <c r="K57" s="35"/>
      <c r="L57" s="35"/>
      <c r="M57" s="35"/>
      <c r="N57" s="36"/>
    </row>
    <row r="58" spans="1:14" x14ac:dyDescent="0.2">
      <c r="A58" s="34"/>
      <c r="B58" s="35"/>
      <c r="C58" s="35"/>
      <c r="D58" s="35"/>
      <c r="E58" s="35"/>
      <c r="F58" s="35"/>
      <c r="G58" s="35"/>
      <c r="H58" s="35"/>
      <c r="I58" s="35"/>
      <c r="J58" s="35"/>
      <c r="K58" s="35"/>
      <c r="L58" s="35"/>
      <c r="M58" s="35"/>
      <c r="N58" s="36"/>
    </row>
    <row r="59" spans="1:14" x14ac:dyDescent="0.2">
      <c r="A59" s="34"/>
      <c r="B59" s="35"/>
      <c r="C59" s="35"/>
      <c r="D59" s="35"/>
      <c r="E59" s="35"/>
      <c r="F59" s="35"/>
      <c r="G59" s="35"/>
      <c r="H59" s="35"/>
      <c r="I59" s="35"/>
      <c r="J59" s="35"/>
      <c r="K59" s="35"/>
      <c r="L59" s="35"/>
      <c r="M59" s="35"/>
      <c r="N59" s="36"/>
    </row>
    <row r="60" spans="1:14" x14ac:dyDescent="0.2">
      <c r="A60" s="34"/>
      <c r="B60" s="35"/>
      <c r="C60" s="35"/>
      <c r="D60" s="35"/>
      <c r="E60" s="35"/>
      <c r="F60" s="35"/>
      <c r="G60" s="35"/>
      <c r="H60" s="35"/>
      <c r="I60" s="35"/>
      <c r="J60" s="35"/>
      <c r="K60" s="35"/>
      <c r="L60" s="35"/>
      <c r="M60" s="35"/>
      <c r="N60" s="36"/>
    </row>
    <row r="61" spans="1:14" x14ac:dyDescent="0.2">
      <c r="A61" s="34"/>
      <c r="B61" s="35"/>
      <c r="C61" s="35"/>
      <c r="D61" s="35"/>
      <c r="E61" s="35"/>
      <c r="F61" s="35"/>
      <c r="G61" s="35"/>
      <c r="H61" s="35"/>
      <c r="I61" s="35"/>
      <c r="J61" s="35"/>
      <c r="K61" s="35"/>
      <c r="L61" s="35"/>
      <c r="M61" s="35"/>
      <c r="N61" s="36"/>
    </row>
    <row r="62" spans="1:14" x14ac:dyDescent="0.2">
      <c r="A62" s="34"/>
      <c r="B62" s="35"/>
      <c r="C62" s="35"/>
      <c r="D62" s="35"/>
      <c r="E62" s="35"/>
      <c r="F62" s="35"/>
      <c r="G62" s="35"/>
      <c r="H62" s="35"/>
      <c r="I62" s="35"/>
      <c r="J62" s="35"/>
      <c r="K62" s="35"/>
      <c r="L62" s="35"/>
      <c r="M62" s="35"/>
      <c r="N62" s="36"/>
    </row>
    <row r="63" spans="1:14" x14ac:dyDescent="0.2">
      <c r="A63" s="34"/>
      <c r="B63" s="35"/>
      <c r="C63" s="35"/>
      <c r="D63" s="35"/>
      <c r="E63" s="35"/>
      <c r="F63" s="35"/>
      <c r="G63" s="35"/>
      <c r="H63" s="35"/>
      <c r="I63" s="35"/>
      <c r="J63" s="35"/>
      <c r="K63" s="35"/>
      <c r="L63" s="35"/>
      <c r="M63" s="35"/>
      <c r="N63" s="36"/>
    </row>
    <row r="64" spans="1:14" x14ac:dyDescent="0.2">
      <c r="A64" s="34"/>
      <c r="B64" s="35"/>
      <c r="C64" s="35"/>
      <c r="D64" s="35"/>
      <c r="E64" s="35"/>
      <c r="F64" s="35"/>
      <c r="G64" s="35"/>
      <c r="H64" s="35"/>
      <c r="I64" s="35"/>
      <c r="J64" s="35"/>
      <c r="K64" s="35"/>
      <c r="L64" s="35"/>
      <c r="M64" s="35"/>
      <c r="N64" s="36"/>
    </row>
    <row r="65" spans="1:14" x14ac:dyDescent="0.2">
      <c r="A65" s="34"/>
      <c r="B65" s="35"/>
      <c r="C65" s="35"/>
      <c r="D65" s="35"/>
      <c r="E65" s="35"/>
      <c r="F65" s="35"/>
      <c r="G65" s="35"/>
      <c r="H65" s="35"/>
      <c r="I65" s="35"/>
      <c r="J65" s="35"/>
      <c r="K65" s="35"/>
      <c r="L65" s="35"/>
      <c r="M65" s="35"/>
      <c r="N65" s="36"/>
    </row>
    <row r="66" spans="1:14" x14ac:dyDescent="0.2">
      <c r="A66" s="34"/>
      <c r="B66" s="35"/>
      <c r="C66" s="35"/>
      <c r="D66" s="35"/>
      <c r="E66" s="35"/>
      <c r="F66" s="35"/>
      <c r="G66" s="35"/>
      <c r="H66" s="35"/>
      <c r="I66" s="35"/>
      <c r="J66" s="35"/>
      <c r="K66" s="35"/>
      <c r="L66" s="35"/>
      <c r="M66" s="35"/>
      <c r="N66" s="36"/>
    </row>
    <row r="67" spans="1:14" ht="16" thickBot="1" x14ac:dyDescent="0.25">
      <c r="A67" s="37"/>
      <c r="B67" s="38"/>
      <c r="C67" s="38"/>
      <c r="D67" s="38"/>
      <c r="E67" s="38"/>
      <c r="F67" s="38"/>
      <c r="G67" s="38"/>
      <c r="H67" s="38"/>
      <c r="I67" s="38"/>
      <c r="J67" s="38"/>
      <c r="K67" s="38"/>
      <c r="L67" s="38"/>
      <c r="M67" s="38"/>
      <c r="N67" s="39"/>
    </row>
    <row r="68" spans="1:14" x14ac:dyDescent="0.2">
      <c r="A68" s="1"/>
      <c r="B68" s="1"/>
      <c r="C68" s="1"/>
      <c r="D68" s="1"/>
      <c r="E68" s="1"/>
      <c r="F68" s="1"/>
      <c r="G68" s="1"/>
      <c r="H68" s="1"/>
      <c r="I68" s="1"/>
      <c r="J68" s="1"/>
      <c r="K68" s="1"/>
      <c r="L68" s="1"/>
      <c r="M68" s="1"/>
      <c r="N68" s="1"/>
    </row>
  </sheetData>
  <sheetProtection formatCells="0" formatColumns="0" formatRows="0" insertColumns="0" insertRows="0" insertHyperlinks="0" deleteColumns="0" deleteRows="0" sort="0" autoFilter="0" pivotTables="0"/>
  <mergeCells count="107">
    <mergeCell ref="A46:N46"/>
    <mergeCell ref="A47:N67"/>
    <mergeCell ref="A45:C45"/>
    <mergeCell ref="D45:F45"/>
    <mergeCell ref="G45:H45"/>
    <mergeCell ref="I45:J45"/>
    <mergeCell ref="K45:L45"/>
    <mergeCell ref="M45:N45"/>
    <mergeCell ref="A43:N43"/>
    <mergeCell ref="A44:C44"/>
    <mergeCell ref="D44:F44"/>
    <mergeCell ref="G44:H44"/>
    <mergeCell ref="I44:J44"/>
    <mergeCell ref="K44:L44"/>
    <mergeCell ref="M44:N44"/>
    <mergeCell ref="A40:C40"/>
    <mergeCell ref="J40:K40"/>
    <mergeCell ref="A41:C41"/>
    <mergeCell ref="J41:K41"/>
    <mergeCell ref="A42:C42"/>
    <mergeCell ref="J42:K42"/>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C6">
    <cfRule type="notContainsBlanks" dxfId="23" priority="6">
      <formula>LEN(TRIM(C6))&gt;0</formula>
    </cfRule>
  </conditionalFormatting>
  <conditionalFormatting sqref="C11:D16">
    <cfRule type="notContainsBlanks" dxfId="22" priority="1">
      <formula>LEN(TRIM(C11))&gt;0</formula>
    </cfRule>
  </conditionalFormatting>
  <conditionalFormatting sqref="C8:E9">
    <cfRule type="notContainsBlanks" dxfId="21" priority="5">
      <formula>LEN(TRIM(C8))&gt;0</formula>
    </cfRule>
  </conditionalFormatting>
  <conditionalFormatting sqref="G45:H45">
    <cfRule type="notContainsBlanks" dxfId="20" priority="8">
      <formula>LEN(TRIM(G45))&gt;0</formula>
    </cfRule>
  </conditionalFormatting>
  <conditionalFormatting sqref="I5:K9">
    <cfRule type="notContainsBlanks" dxfId="19" priority="4">
      <formula>LEN(TRIM(I5))&gt;0</formula>
    </cfRule>
  </conditionalFormatting>
  <conditionalFormatting sqref="L5:N7">
    <cfRule type="notContainsBlanks" dxfId="18" priority="3">
      <formula>LEN(TRIM(L5))&gt;0</formula>
    </cfRule>
  </conditionalFormatting>
  <conditionalFormatting sqref="L9:N9">
    <cfRule type="notContainsBlanks" dxfId="17" priority="2">
      <formula>LEN(TRIM(L9))&gt;0</formula>
    </cfRule>
  </conditionalFormatting>
  <conditionalFormatting sqref="M1:N1 D2:K3 N2:N3 G11:I16 A18:N18 A20:N24 A26:N30 D34:K42">
    <cfRule type="notContainsBlanks" dxfId="16" priority="7">
      <formula>LEN(TRIM(A1))&gt;0</formula>
    </cfRule>
  </conditionalFormatting>
  <dataValidations disablePrompts="1" count="4">
    <dataValidation allowBlank="1" showInputMessage="1" showErrorMessage="1" prompt="Well Name Here" sqref="D2:K2" xr:uid="{D7FCBE53-DB16-4A7A-9E1C-07914E1BA186}"/>
    <dataValidation allowBlank="1" showInputMessage="1" showErrorMessage="1" prompt="UWI Here" sqref="D3:K3" xr:uid="{2C43F549-7EC7-4CBD-A16A-649D3DFCDDB0}"/>
    <dataValidation allowBlank="1" showInputMessage="1" showErrorMessage="1" prompt="Insert any additional comments &amp; photos if necessary " sqref="A47:N67" xr:uid="{46438C9F-6B99-4454-8D41-EDE0FA7B911F}"/>
    <dataValidation type="list" allowBlank="1" showInputMessage="1" showErrorMessage="1" sqref="G15:I16" xr:uid="{322E90D0-0FA8-4537-B812-EC491C21864A}">
      <formula1>"Base of Drift, Clearwater Top, Surface Casing, Core Point, Lower Wab / RMZ top, Upper McMurray, Mid McMurray / RMZ Base, Beaverhill Lake, Total Depth"</formula1>
    </dataValidation>
  </dataValidations>
  <pageMargins left="0.7" right="0.7" top="0.75" bottom="0.75" header="0.3" footer="0.3"/>
  <pageSetup scale="60"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9BF34-02B3-4D04-B246-49D4733DB4B0}">
  <dimension ref="A1:N68"/>
  <sheetViews>
    <sheetView zoomScaleNormal="100" workbookViewId="0">
      <selection activeCell="A47" sqref="A47:N67"/>
    </sheetView>
  </sheetViews>
  <sheetFormatPr baseColWidth="10" defaultColWidth="8.83203125" defaultRowHeight="15" x14ac:dyDescent="0.2"/>
  <cols>
    <col min="1" max="14" width="10.6640625" customWidth="1"/>
  </cols>
  <sheetData>
    <row r="1" spans="1:14" ht="22" x14ac:dyDescent="0.3">
      <c r="A1" s="109"/>
      <c r="B1" s="110"/>
      <c r="C1" s="110"/>
      <c r="D1" s="113" t="s">
        <v>0</v>
      </c>
      <c r="E1" s="114"/>
      <c r="F1" s="114"/>
      <c r="G1" s="114"/>
      <c r="H1" s="114"/>
      <c r="I1" s="114"/>
      <c r="J1" s="114"/>
      <c r="K1" s="115"/>
      <c r="L1" s="4" t="s">
        <v>7</v>
      </c>
      <c r="M1" s="116">
        <v>46087</v>
      </c>
      <c r="N1" s="117"/>
    </row>
    <row r="2" spans="1:14" ht="21" customHeight="1" x14ac:dyDescent="0.3">
      <c r="A2" s="111"/>
      <c r="B2" s="112"/>
      <c r="C2" s="112"/>
      <c r="D2" s="118" t="s">
        <v>67</v>
      </c>
      <c r="E2" s="119"/>
      <c r="F2" s="119"/>
      <c r="G2" s="119"/>
      <c r="H2" s="119"/>
      <c r="I2" s="119"/>
      <c r="J2" s="119"/>
      <c r="K2" s="120"/>
      <c r="L2" s="121" t="s">
        <v>1</v>
      </c>
      <c r="M2" s="122"/>
      <c r="N2" s="15">
        <v>4</v>
      </c>
    </row>
    <row r="3" spans="1:14" ht="24.75" customHeight="1" thickBot="1" x14ac:dyDescent="0.35">
      <c r="A3" s="111"/>
      <c r="B3" s="112"/>
      <c r="C3" s="112"/>
      <c r="D3" s="123" t="s">
        <v>68</v>
      </c>
      <c r="E3" s="124"/>
      <c r="F3" s="124"/>
      <c r="G3" s="124"/>
      <c r="H3" s="124"/>
      <c r="I3" s="124"/>
      <c r="J3" s="124"/>
      <c r="K3" s="125"/>
      <c r="L3" s="126" t="s">
        <v>56</v>
      </c>
      <c r="M3" s="127"/>
      <c r="N3" s="16">
        <v>12</v>
      </c>
    </row>
    <row r="4" spans="1:14" x14ac:dyDescent="0.2">
      <c r="A4" s="140" t="s">
        <v>2</v>
      </c>
      <c r="B4" s="141"/>
      <c r="C4" s="141"/>
      <c r="D4" s="141"/>
      <c r="E4" s="141"/>
      <c r="F4" s="141"/>
      <c r="G4" s="141"/>
      <c r="H4" s="141"/>
      <c r="I4" s="141"/>
      <c r="J4" s="141"/>
      <c r="K4" s="141"/>
      <c r="L4" s="141" t="s">
        <v>62</v>
      </c>
      <c r="M4" s="141"/>
      <c r="N4" s="142"/>
    </row>
    <row r="5" spans="1:14" x14ac:dyDescent="0.2">
      <c r="A5" s="91" t="s">
        <v>3</v>
      </c>
      <c r="B5" s="92"/>
      <c r="C5" s="43" t="s">
        <v>4</v>
      </c>
      <c r="D5" s="43"/>
      <c r="E5" s="43"/>
      <c r="F5" s="46" t="s">
        <v>5</v>
      </c>
      <c r="G5" s="46"/>
      <c r="H5" s="46"/>
      <c r="I5" s="143" t="s">
        <v>71</v>
      </c>
      <c r="J5" s="143"/>
      <c r="K5" s="143"/>
      <c r="L5" s="94" t="s">
        <v>75</v>
      </c>
      <c r="M5" s="94"/>
      <c r="N5" s="139"/>
    </row>
    <row r="6" spans="1:14" x14ac:dyDescent="0.2">
      <c r="A6" s="128" t="s">
        <v>8</v>
      </c>
      <c r="B6" s="129"/>
      <c r="C6" s="130" t="s">
        <v>69</v>
      </c>
      <c r="D6" s="131"/>
      <c r="E6" s="132"/>
      <c r="F6" s="103" t="s">
        <v>6</v>
      </c>
      <c r="G6" s="103"/>
      <c r="H6" s="6" t="s">
        <v>11</v>
      </c>
      <c r="I6" s="94" t="s">
        <v>97</v>
      </c>
      <c r="J6" s="94"/>
      <c r="K6" s="94"/>
      <c r="L6" s="136" t="s">
        <v>98</v>
      </c>
      <c r="M6" s="137"/>
      <c r="N6" s="138"/>
    </row>
    <row r="7" spans="1:14" x14ac:dyDescent="0.2">
      <c r="A7" s="128"/>
      <c r="B7" s="129"/>
      <c r="C7" s="133"/>
      <c r="D7" s="134"/>
      <c r="E7" s="135"/>
      <c r="F7" s="103"/>
      <c r="G7" s="103"/>
      <c r="H7" s="6" t="s">
        <v>12</v>
      </c>
      <c r="I7" s="94" t="s">
        <v>96</v>
      </c>
      <c r="J7" s="94"/>
      <c r="K7" s="94"/>
      <c r="L7" s="94" t="s">
        <v>99</v>
      </c>
      <c r="M7" s="94"/>
      <c r="N7" s="139"/>
    </row>
    <row r="8" spans="1:14" x14ac:dyDescent="0.2">
      <c r="A8" s="102" t="s">
        <v>9</v>
      </c>
      <c r="B8" s="103"/>
      <c r="C8" s="104" t="s">
        <v>70</v>
      </c>
      <c r="D8" s="104"/>
      <c r="E8" s="104"/>
      <c r="F8" s="103" t="s">
        <v>10</v>
      </c>
      <c r="G8" s="103"/>
      <c r="H8" s="2" t="s">
        <v>11</v>
      </c>
      <c r="I8" s="94" t="s">
        <v>73</v>
      </c>
      <c r="J8" s="94"/>
      <c r="K8" s="94"/>
      <c r="L8" s="105" t="s">
        <v>55</v>
      </c>
      <c r="M8" s="106"/>
      <c r="N8" s="107"/>
    </row>
    <row r="9" spans="1:14" x14ac:dyDescent="0.2">
      <c r="A9" s="102"/>
      <c r="B9" s="103"/>
      <c r="C9" s="104"/>
      <c r="D9" s="104"/>
      <c r="E9" s="104"/>
      <c r="F9" s="103"/>
      <c r="G9" s="103"/>
      <c r="H9" s="2" t="s">
        <v>12</v>
      </c>
      <c r="I9" s="94" t="s">
        <v>74</v>
      </c>
      <c r="J9" s="94"/>
      <c r="K9" s="94"/>
      <c r="L9" s="104" t="s">
        <v>78</v>
      </c>
      <c r="M9" s="104"/>
      <c r="N9" s="108"/>
    </row>
    <row r="10" spans="1:14" x14ac:dyDescent="0.2">
      <c r="A10" s="31" t="s">
        <v>31</v>
      </c>
      <c r="B10" s="32"/>
      <c r="C10" s="32"/>
      <c r="D10" s="32"/>
      <c r="E10" s="32"/>
      <c r="F10" s="32"/>
      <c r="G10" s="32"/>
      <c r="H10" s="32"/>
      <c r="I10" s="32"/>
      <c r="J10" s="32"/>
      <c r="K10" s="32"/>
      <c r="L10" s="32"/>
      <c r="M10" s="32"/>
      <c r="N10" s="33"/>
    </row>
    <row r="11" spans="1:14" x14ac:dyDescent="0.2">
      <c r="A11" s="91" t="s">
        <v>13</v>
      </c>
      <c r="B11" s="92"/>
      <c r="C11" s="100" t="s">
        <v>80</v>
      </c>
      <c r="D11" s="94"/>
      <c r="E11" s="92" t="s">
        <v>63</v>
      </c>
      <c r="F11" s="92"/>
      <c r="G11" s="93">
        <v>334</v>
      </c>
      <c r="H11" s="93"/>
      <c r="I11" s="93"/>
      <c r="J11" s="46" t="s">
        <v>27</v>
      </c>
      <c r="K11" s="101"/>
      <c r="L11" s="3" t="s">
        <v>28</v>
      </c>
      <c r="M11" s="3" t="s">
        <v>29</v>
      </c>
      <c r="N11" s="5" t="s">
        <v>30</v>
      </c>
    </row>
    <row r="12" spans="1:14" x14ac:dyDescent="0.2">
      <c r="A12" s="91" t="s">
        <v>14</v>
      </c>
      <c r="B12" s="92"/>
      <c r="C12" s="94" t="s">
        <v>79</v>
      </c>
      <c r="D12" s="94"/>
      <c r="E12" s="92" t="s">
        <v>19</v>
      </c>
      <c r="F12" s="92"/>
      <c r="G12" s="93">
        <f>IF(G11,G11-'Mar 05'!G11,"")</f>
        <v>96</v>
      </c>
      <c r="H12" s="93"/>
      <c r="I12" s="93"/>
      <c r="J12" s="92" t="s">
        <v>24</v>
      </c>
      <c r="K12" s="92"/>
      <c r="L12" s="14">
        <v>251</v>
      </c>
      <c r="M12" s="14">
        <v>88.9</v>
      </c>
      <c r="N12" s="9" t="s">
        <v>84</v>
      </c>
    </row>
    <row r="13" spans="1:14" x14ac:dyDescent="0.2">
      <c r="A13" s="91" t="s">
        <v>15</v>
      </c>
      <c r="B13" s="92"/>
      <c r="C13" s="99">
        <v>46075</v>
      </c>
      <c r="D13" s="99"/>
      <c r="E13" s="92" t="s">
        <v>20</v>
      </c>
      <c r="F13" s="92"/>
      <c r="G13" s="94">
        <f>34-15</f>
        <v>19</v>
      </c>
      <c r="H13" s="94"/>
      <c r="I13" s="94"/>
      <c r="J13" s="92" t="s">
        <v>25</v>
      </c>
      <c r="K13" s="92"/>
      <c r="L13" s="14">
        <v>177.8</v>
      </c>
      <c r="M13" s="14">
        <v>88.9</v>
      </c>
      <c r="N13" s="9" t="s">
        <v>84</v>
      </c>
    </row>
    <row r="14" spans="1:14" x14ac:dyDescent="0.2">
      <c r="A14" s="91" t="s">
        <v>16</v>
      </c>
      <c r="B14" s="92"/>
      <c r="C14" s="93">
        <v>593.79999999999995</v>
      </c>
      <c r="D14" s="93"/>
      <c r="E14" s="92" t="s">
        <v>21</v>
      </c>
      <c r="F14" s="92"/>
      <c r="G14" s="98">
        <f>IF(G13="","",G12/G13)</f>
        <v>5.0526315789473681</v>
      </c>
      <c r="H14" s="98"/>
      <c r="I14" s="98"/>
      <c r="J14" s="92" t="s">
        <v>26</v>
      </c>
      <c r="K14" s="92"/>
      <c r="L14" s="14">
        <v>159</v>
      </c>
      <c r="M14" s="14"/>
      <c r="N14" s="9" t="s">
        <v>85</v>
      </c>
    </row>
    <row r="15" spans="1:14" x14ac:dyDescent="0.2">
      <c r="A15" s="91" t="s">
        <v>17</v>
      </c>
      <c r="B15" s="92"/>
      <c r="C15" s="93">
        <v>589.70000000000005</v>
      </c>
      <c r="D15" s="93"/>
      <c r="E15" s="92" t="s">
        <v>22</v>
      </c>
      <c r="F15" s="92"/>
      <c r="G15" s="94" t="s">
        <v>38</v>
      </c>
      <c r="H15" s="94"/>
      <c r="I15" s="94"/>
      <c r="J15" s="92" t="s">
        <v>83</v>
      </c>
      <c r="K15" s="92"/>
      <c r="L15" s="14">
        <v>114.3</v>
      </c>
      <c r="M15" s="14"/>
      <c r="N15" s="9" t="s">
        <v>85</v>
      </c>
    </row>
    <row r="16" spans="1:14" x14ac:dyDescent="0.2">
      <c r="A16" s="91" t="s">
        <v>18</v>
      </c>
      <c r="B16" s="92"/>
      <c r="C16" s="93">
        <f>IF(C$15="","",C$14-C$15)</f>
        <v>4.0999999999999091</v>
      </c>
      <c r="D16" s="93"/>
      <c r="E16" s="92" t="s">
        <v>23</v>
      </c>
      <c r="F16" s="92"/>
      <c r="G16" s="94" t="s">
        <v>44</v>
      </c>
      <c r="H16" s="94"/>
      <c r="I16" s="94"/>
      <c r="J16" s="92"/>
      <c r="K16" s="92"/>
      <c r="L16" s="14"/>
      <c r="M16" s="14"/>
      <c r="N16" s="9"/>
    </row>
    <row r="17" spans="1:14" ht="16" thickBot="1" x14ac:dyDescent="0.25">
      <c r="A17" s="95" t="s">
        <v>57</v>
      </c>
      <c r="B17" s="96"/>
      <c r="C17" s="96"/>
      <c r="D17" s="96"/>
      <c r="E17" s="96"/>
      <c r="F17" s="96"/>
      <c r="G17" s="96"/>
      <c r="H17" s="96"/>
      <c r="I17" s="96"/>
      <c r="J17" s="96"/>
      <c r="K17" s="96"/>
      <c r="L17" s="96"/>
      <c r="M17" s="96"/>
      <c r="N17" s="97"/>
    </row>
    <row r="18" spans="1:14" ht="16" thickBot="1" x14ac:dyDescent="0.25">
      <c r="A18" s="76" t="s">
        <v>100</v>
      </c>
      <c r="B18" s="77"/>
      <c r="C18" s="77"/>
      <c r="D18" s="77"/>
      <c r="E18" s="77"/>
      <c r="F18" s="77"/>
      <c r="G18" s="77"/>
      <c r="H18" s="77"/>
      <c r="I18" s="77"/>
      <c r="J18" s="77"/>
      <c r="K18" s="77"/>
      <c r="L18" s="77"/>
      <c r="M18" s="77"/>
      <c r="N18" s="78"/>
    </row>
    <row r="19" spans="1:14" ht="16" thickBot="1" x14ac:dyDescent="0.25">
      <c r="A19" s="79" t="s">
        <v>32</v>
      </c>
      <c r="B19" s="80"/>
      <c r="C19" s="80"/>
      <c r="D19" s="80"/>
      <c r="E19" s="80"/>
      <c r="F19" s="80"/>
      <c r="G19" s="80"/>
      <c r="H19" s="80"/>
      <c r="I19" s="80"/>
      <c r="J19" s="80"/>
      <c r="K19" s="80"/>
      <c r="L19" s="80"/>
      <c r="M19" s="80"/>
      <c r="N19" s="81"/>
    </row>
    <row r="20" spans="1:14" x14ac:dyDescent="0.2">
      <c r="A20" s="144" t="s">
        <v>101</v>
      </c>
      <c r="B20" s="145"/>
      <c r="C20" s="145"/>
      <c r="D20" s="145"/>
      <c r="E20" s="145"/>
      <c r="F20" s="145"/>
      <c r="G20" s="145"/>
      <c r="H20" s="145"/>
      <c r="I20" s="145"/>
      <c r="J20" s="145"/>
      <c r="K20" s="145"/>
      <c r="L20" s="145"/>
      <c r="M20" s="145"/>
      <c r="N20" s="146"/>
    </row>
    <row r="21" spans="1:14" x14ac:dyDescent="0.2">
      <c r="A21" s="147"/>
      <c r="B21" s="148"/>
      <c r="C21" s="148"/>
      <c r="D21" s="148"/>
      <c r="E21" s="148"/>
      <c r="F21" s="148"/>
      <c r="G21" s="148"/>
      <c r="H21" s="148"/>
      <c r="I21" s="148"/>
      <c r="J21" s="148"/>
      <c r="K21" s="148"/>
      <c r="L21" s="148"/>
      <c r="M21" s="148"/>
      <c r="N21" s="149"/>
    </row>
    <row r="22" spans="1:14" ht="19.5" customHeight="1" thickBot="1" x14ac:dyDescent="0.25">
      <c r="A22" s="147"/>
      <c r="B22" s="148"/>
      <c r="C22" s="148"/>
      <c r="D22" s="148"/>
      <c r="E22" s="148"/>
      <c r="F22" s="148"/>
      <c r="G22" s="148"/>
      <c r="H22" s="148"/>
      <c r="I22" s="148"/>
      <c r="J22" s="148"/>
      <c r="K22" s="148"/>
      <c r="L22" s="148"/>
      <c r="M22" s="148"/>
      <c r="N22" s="149"/>
    </row>
    <row r="23" spans="1:14" ht="15" hidden="1" customHeight="1" thickBot="1" x14ac:dyDescent="0.25">
      <c r="A23" s="147"/>
      <c r="B23" s="148"/>
      <c r="C23" s="148"/>
      <c r="D23" s="148"/>
      <c r="E23" s="148"/>
      <c r="F23" s="148"/>
      <c r="G23" s="148"/>
      <c r="H23" s="148"/>
      <c r="I23" s="148"/>
      <c r="J23" s="148"/>
      <c r="K23" s="148"/>
      <c r="L23" s="148"/>
      <c r="M23" s="148"/>
      <c r="N23" s="149"/>
    </row>
    <row r="24" spans="1:14" ht="15" hidden="1" customHeight="1" thickBot="1" x14ac:dyDescent="0.25">
      <c r="A24" s="150"/>
      <c r="B24" s="151"/>
      <c r="C24" s="151"/>
      <c r="D24" s="151"/>
      <c r="E24" s="151"/>
      <c r="F24" s="151"/>
      <c r="G24" s="151"/>
      <c r="H24" s="151"/>
      <c r="I24" s="151"/>
      <c r="J24" s="151"/>
      <c r="K24" s="151"/>
      <c r="L24" s="151"/>
      <c r="M24" s="151"/>
      <c r="N24" s="152"/>
    </row>
    <row r="25" spans="1:14" ht="16" thickBot="1" x14ac:dyDescent="0.25">
      <c r="A25" s="79" t="s">
        <v>33</v>
      </c>
      <c r="B25" s="80"/>
      <c r="C25" s="80"/>
      <c r="D25" s="80"/>
      <c r="E25" s="80"/>
      <c r="F25" s="80"/>
      <c r="G25" s="80"/>
      <c r="H25" s="80"/>
      <c r="I25" s="80"/>
      <c r="J25" s="80"/>
      <c r="K25" s="80"/>
      <c r="L25" s="80"/>
      <c r="M25" s="80"/>
      <c r="N25" s="81"/>
    </row>
    <row r="26" spans="1:14" x14ac:dyDescent="0.2">
      <c r="A26" s="144" t="s">
        <v>102</v>
      </c>
      <c r="B26" s="145"/>
      <c r="C26" s="145"/>
      <c r="D26" s="145"/>
      <c r="E26" s="145"/>
      <c r="F26" s="145"/>
      <c r="G26" s="145"/>
      <c r="H26" s="145"/>
      <c r="I26" s="145"/>
      <c r="J26" s="145"/>
      <c r="K26" s="145"/>
      <c r="L26" s="145"/>
      <c r="M26" s="145"/>
      <c r="N26" s="146"/>
    </row>
    <row r="27" spans="1:14" ht="15" customHeight="1" thickBot="1" x14ac:dyDescent="0.25">
      <c r="A27" s="147"/>
      <c r="B27" s="148"/>
      <c r="C27" s="148"/>
      <c r="D27" s="148"/>
      <c r="E27" s="148"/>
      <c r="F27" s="148"/>
      <c r="G27" s="148"/>
      <c r="H27" s="148"/>
      <c r="I27" s="148"/>
      <c r="J27" s="148"/>
      <c r="K27" s="148"/>
      <c r="L27" s="148"/>
      <c r="M27" s="148"/>
      <c r="N27" s="149"/>
    </row>
    <row r="28" spans="1:14" ht="15" hidden="1" customHeight="1" thickBot="1" x14ac:dyDescent="0.25">
      <c r="A28" s="147"/>
      <c r="B28" s="148"/>
      <c r="C28" s="148"/>
      <c r="D28" s="148"/>
      <c r="E28" s="148"/>
      <c r="F28" s="148"/>
      <c r="G28" s="148"/>
      <c r="H28" s="148"/>
      <c r="I28" s="148"/>
      <c r="J28" s="148"/>
      <c r="K28" s="148"/>
      <c r="L28" s="148"/>
      <c r="M28" s="148"/>
      <c r="N28" s="149"/>
    </row>
    <row r="29" spans="1:14" ht="15" hidden="1" customHeight="1" thickBot="1" x14ac:dyDescent="0.25">
      <c r="A29" s="147"/>
      <c r="B29" s="148"/>
      <c r="C29" s="148"/>
      <c r="D29" s="148"/>
      <c r="E29" s="148"/>
      <c r="F29" s="148"/>
      <c r="G29" s="148"/>
      <c r="H29" s="148"/>
      <c r="I29" s="148"/>
      <c r="J29" s="148"/>
      <c r="K29" s="148"/>
      <c r="L29" s="148"/>
      <c r="M29" s="148"/>
      <c r="N29" s="149"/>
    </row>
    <row r="30" spans="1:14" ht="15" hidden="1" customHeight="1" thickBot="1" x14ac:dyDescent="0.25">
      <c r="A30" s="150"/>
      <c r="B30" s="151"/>
      <c r="C30" s="151"/>
      <c r="D30" s="151"/>
      <c r="E30" s="151"/>
      <c r="F30" s="151"/>
      <c r="G30" s="151"/>
      <c r="H30" s="151"/>
      <c r="I30" s="151"/>
      <c r="J30" s="151"/>
      <c r="K30" s="151"/>
      <c r="L30" s="151"/>
      <c r="M30" s="151"/>
      <c r="N30" s="152"/>
    </row>
    <row r="31" spans="1:14" ht="16" thickBot="1" x14ac:dyDescent="0.25">
      <c r="A31" s="79" t="s">
        <v>34</v>
      </c>
      <c r="B31" s="80"/>
      <c r="C31" s="80"/>
      <c r="D31" s="80"/>
      <c r="E31" s="80"/>
      <c r="F31" s="80"/>
      <c r="G31" s="80"/>
      <c r="H31" s="80"/>
      <c r="I31" s="80"/>
      <c r="J31" s="80"/>
      <c r="K31" s="81"/>
      <c r="L31" s="79" t="s">
        <v>58</v>
      </c>
      <c r="M31" s="80"/>
      <c r="N31" s="81"/>
    </row>
    <row r="32" spans="1:14" x14ac:dyDescent="0.2">
      <c r="A32" s="58" t="s">
        <v>47</v>
      </c>
      <c r="B32" s="59"/>
      <c r="C32" s="60"/>
      <c r="D32" s="64" t="s">
        <v>40</v>
      </c>
      <c r="E32" s="64"/>
      <c r="F32" s="64"/>
      <c r="G32" s="65" t="s">
        <v>43</v>
      </c>
      <c r="H32" s="66"/>
      <c r="I32" s="66"/>
      <c r="J32" s="66"/>
      <c r="K32" s="67"/>
      <c r="L32" s="68" t="s">
        <v>64</v>
      </c>
      <c r="M32" s="70" t="s">
        <v>61</v>
      </c>
      <c r="N32" s="72" t="s">
        <v>59</v>
      </c>
    </row>
    <row r="33" spans="1:14" x14ac:dyDescent="0.2">
      <c r="A33" s="61"/>
      <c r="B33" s="62"/>
      <c r="C33" s="63"/>
      <c r="D33" s="3" t="s">
        <v>42</v>
      </c>
      <c r="E33" s="3" t="s">
        <v>45</v>
      </c>
      <c r="F33" s="3" t="s">
        <v>65</v>
      </c>
      <c r="G33" s="3" t="s">
        <v>42</v>
      </c>
      <c r="H33" s="3" t="s">
        <v>41</v>
      </c>
      <c r="I33" s="3" t="s">
        <v>65</v>
      </c>
      <c r="J33" s="74" t="s">
        <v>46</v>
      </c>
      <c r="K33" s="75"/>
      <c r="L33" s="69"/>
      <c r="M33" s="71"/>
      <c r="N33" s="73"/>
    </row>
    <row r="34" spans="1:14" x14ac:dyDescent="0.2">
      <c r="A34" s="48" t="s">
        <v>25</v>
      </c>
      <c r="B34" s="49"/>
      <c r="C34" s="50"/>
      <c r="D34" s="17">
        <v>85.799999999999955</v>
      </c>
      <c r="E34" s="18">
        <f>IF(F34="","",C$14-F34)</f>
        <v>85.799999999999955</v>
      </c>
      <c r="F34" s="17">
        <v>508</v>
      </c>
      <c r="G34" s="14">
        <v>88.9</v>
      </c>
      <c r="H34" s="14">
        <v>88.9</v>
      </c>
      <c r="I34" s="18">
        <f>IF(H34="","",C$14-H34)</f>
        <v>504.9</v>
      </c>
      <c r="J34" s="51">
        <f>IF(OR(H34="",F34=""),"",E34-H34)</f>
        <v>-3.1000000000000512</v>
      </c>
      <c r="K34" s="52"/>
      <c r="L34" s="23">
        <v>100</v>
      </c>
      <c r="M34" s="24">
        <v>1.8939393939393938</v>
      </c>
      <c r="N34" s="9">
        <v>19.899999999999999</v>
      </c>
    </row>
    <row r="35" spans="1:14" x14ac:dyDescent="0.2">
      <c r="A35" s="48" t="s">
        <v>81</v>
      </c>
      <c r="B35" s="49"/>
      <c r="C35" s="50"/>
      <c r="D35" s="17">
        <v>85.799999999999955</v>
      </c>
      <c r="E35" s="18">
        <f t="shared" ref="E35:E42" si="0">IF(F35="","",C$14-F35)</f>
        <v>85.799999999999955</v>
      </c>
      <c r="F35" s="17">
        <v>508</v>
      </c>
      <c r="G35" s="14">
        <v>98.9</v>
      </c>
      <c r="H35" s="14">
        <v>98.9</v>
      </c>
      <c r="I35" s="18">
        <f t="shared" ref="I35:I42" si="1">IF(H35="","",C$14-H35)</f>
        <v>494.9</v>
      </c>
      <c r="J35" s="51">
        <f t="shared" ref="J35:J42" si="2">IF(OR(H35="",F35=""),"",E35-H35)</f>
        <v>-13.100000000000051</v>
      </c>
      <c r="K35" s="52"/>
      <c r="L35" s="23">
        <v>150</v>
      </c>
      <c r="M35" s="24">
        <v>3.0303030303030303</v>
      </c>
      <c r="N35" s="9">
        <v>18.2</v>
      </c>
    </row>
    <row r="36" spans="1:14" x14ac:dyDescent="0.2">
      <c r="A36" s="48" t="s">
        <v>35</v>
      </c>
      <c r="B36" s="49"/>
      <c r="C36" s="50"/>
      <c r="D36" s="17">
        <v>187.09999999999997</v>
      </c>
      <c r="E36" s="18">
        <f t="shared" si="0"/>
        <v>187.09999999999997</v>
      </c>
      <c r="F36" s="17">
        <v>406.7</v>
      </c>
      <c r="G36" s="14"/>
      <c r="H36" s="14"/>
      <c r="I36" s="18" t="str">
        <f t="shared" si="1"/>
        <v/>
      </c>
      <c r="J36" s="51" t="str">
        <f t="shared" si="2"/>
        <v/>
      </c>
      <c r="K36" s="52"/>
      <c r="L36" s="23">
        <v>154</v>
      </c>
      <c r="M36" s="22">
        <v>2.5</v>
      </c>
      <c r="N36" s="25">
        <v>18</v>
      </c>
    </row>
    <row r="37" spans="1:14" x14ac:dyDescent="0.2">
      <c r="A37" s="48" t="s">
        <v>36</v>
      </c>
      <c r="B37" s="49"/>
      <c r="C37" s="50"/>
      <c r="D37" s="17">
        <v>187.09999999999997</v>
      </c>
      <c r="E37" s="18">
        <f t="shared" si="0"/>
        <v>187.09999999999997</v>
      </c>
      <c r="F37" s="17">
        <v>406.7</v>
      </c>
      <c r="G37" s="14"/>
      <c r="H37" s="14"/>
      <c r="I37" s="18" t="str">
        <f t="shared" si="1"/>
        <v/>
      </c>
      <c r="J37" s="51" t="str">
        <f t="shared" si="2"/>
        <v/>
      </c>
      <c r="K37" s="52"/>
      <c r="L37" s="23">
        <v>180</v>
      </c>
      <c r="M37" s="22">
        <v>2.2999999999999998</v>
      </c>
      <c r="N37" s="9">
        <v>23.2</v>
      </c>
    </row>
    <row r="38" spans="1:14" x14ac:dyDescent="0.2">
      <c r="A38" s="48" t="s">
        <v>82</v>
      </c>
      <c r="B38" s="49"/>
      <c r="C38" s="50"/>
      <c r="D38" s="17">
        <v>242.19999999999993</v>
      </c>
      <c r="E38" s="18">
        <f t="shared" si="0"/>
        <v>242.19999999999993</v>
      </c>
      <c r="F38" s="17">
        <v>351.6</v>
      </c>
      <c r="G38" s="14"/>
      <c r="H38" s="14"/>
      <c r="I38" s="18" t="str">
        <f t="shared" si="1"/>
        <v/>
      </c>
      <c r="J38" s="51" t="str">
        <f t="shared" si="2"/>
        <v/>
      </c>
      <c r="K38" s="52"/>
      <c r="L38" s="23">
        <v>205</v>
      </c>
      <c r="M38" s="22">
        <v>2.1</v>
      </c>
      <c r="N38" s="9">
        <v>20.3</v>
      </c>
    </row>
    <row r="39" spans="1:14" x14ac:dyDescent="0.2">
      <c r="A39" s="48" t="s">
        <v>37</v>
      </c>
      <c r="B39" s="49"/>
      <c r="C39" s="50"/>
      <c r="D39" s="17">
        <v>244.29999999999995</v>
      </c>
      <c r="E39" s="18">
        <f t="shared" si="0"/>
        <v>244.29999999999995</v>
      </c>
      <c r="F39" s="17">
        <v>349.5</v>
      </c>
      <c r="G39" s="14">
        <v>244.5</v>
      </c>
      <c r="H39" s="14">
        <v>244.5</v>
      </c>
      <c r="I39" s="18">
        <f t="shared" si="1"/>
        <v>349.29999999999995</v>
      </c>
      <c r="J39" s="51">
        <f t="shared" si="2"/>
        <v>-0.20000000000004547</v>
      </c>
      <c r="K39" s="52"/>
      <c r="L39" s="23">
        <v>222</v>
      </c>
      <c r="M39" s="22">
        <v>1.9</v>
      </c>
      <c r="N39" s="9">
        <v>20</v>
      </c>
    </row>
    <row r="40" spans="1:14" x14ac:dyDescent="0.2">
      <c r="A40" s="48" t="s">
        <v>44</v>
      </c>
      <c r="B40" s="49"/>
      <c r="C40" s="50"/>
      <c r="D40" s="17">
        <v>247.19999999999993</v>
      </c>
      <c r="E40" s="18">
        <f t="shared" si="0"/>
        <v>247.19999999999993</v>
      </c>
      <c r="F40" s="17">
        <v>346.6</v>
      </c>
      <c r="G40" s="14"/>
      <c r="H40" s="14"/>
      <c r="I40" s="18" t="str">
        <f t="shared" si="1"/>
        <v/>
      </c>
      <c r="J40" s="51" t="str">
        <f t="shared" si="2"/>
        <v/>
      </c>
      <c r="K40" s="52"/>
      <c r="L40" s="27">
        <v>238</v>
      </c>
      <c r="M40" s="24">
        <v>2.5773195876288661</v>
      </c>
      <c r="N40" s="29">
        <v>19.600000000000001</v>
      </c>
    </row>
    <row r="41" spans="1:14" x14ac:dyDescent="0.2">
      <c r="A41" s="48" t="s">
        <v>38</v>
      </c>
      <c r="B41" s="49"/>
      <c r="C41" s="50"/>
      <c r="D41" s="17">
        <v>324.19999999999993</v>
      </c>
      <c r="E41" s="18">
        <f t="shared" si="0"/>
        <v>324.19999999999993</v>
      </c>
      <c r="F41" s="17">
        <v>269.60000000000002</v>
      </c>
      <c r="G41" s="14">
        <v>328</v>
      </c>
      <c r="H41" s="14">
        <v>328</v>
      </c>
      <c r="I41" s="18">
        <f t="shared" si="1"/>
        <v>265.79999999999995</v>
      </c>
      <c r="J41" s="51">
        <f t="shared" si="2"/>
        <v>-3.8000000000000682</v>
      </c>
      <c r="K41" s="52"/>
      <c r="L41" s="27">
        <v>272</v>
      </c>
      <c r="M41" s="24">
        <v>1.8281535648994516</v>
      </c>
      <c r="N41" s="29">
        <v>20.399999999999999</v>
      </c>
    </row>
    <row r="42" spans="1:14" ht="16" thickBot="1" x14ac:dyDescent="0.25">
      <c r="A42" s="53" t="s">
        <v>39</v>
      </c>
      <c r="B42" s="54"/>
      <c r="C42" s="55"/>
      <c r="D42" s="19">
        <v>337.19999999999993</v>
      </c>
      <c r="E42" s="20">
        <f t="shared" si="0"/>
        <v>337.19999999999993</v>
      </c>
      <c r="F42" s="19">
        <v>256.60000000000002</v>
      </c>
      <c r="G42" s="21">
        <v>341</v>
      </c>
      <c r="H42" s="21">
        <v>341</v>
      </c>
      <c r="I42" s="20">
        <f t="shared" si="1"/>
        <v>252.79999999999995</v>
      </c>
      <c r="J42" s="56">
        <f t="shared" si="2"/>
        <v>-3.8000000000000682</v>
      </c>
      <c r="K42" s="57"/>
      <c r="L42" s="28">
        <v>322</v>
      </c>
      <c r="M42" s="26">
        <v>2.0040080160320639</v>
      </c>
      <c r="N42" s="30">
        <v>18.600000000000001</v>
      </c>
    </row>
    <row r="43" spans="1:14" x14ac:dyDescent="0.2">
      <c r="A43" s="31" t="s">
        <v>48</v>
      </c>
      <c r="B43" s="32"/>
      <c r="C43" s="32"/>
      <c r="D43" s="32"/>
      <c r="E43" s="32"/>
      <c r="F43" s="32"/>
      <c r="G43" s="32"/>
      <c r="H43" s="32"/>
      <c r="I43" s="32"/>
      <c r="J43" s="32"/>
      <c r="K43" s="32"/>
      <c r="L43" s="32"/>
      <c r="M43" s="32"/>
      <c r="N43" s="33"/>
    </row>
    <row r="44" spans="1:14" x14ac:dyDescent="0.2">
      <c r="A44" s="45" t="s">
        <v>49</v>
      </c>
      <c r="B44" s="46"/>
      <c r="C44" s="46"/>
      <c r="D44" s="46" t="s">
        <v>50</v>
      </c>
      <c r="E44" s="46"/>
      <c r="F44" s="46"/>
      <c r="G44" s="46" t="s">
        <v>51</v>
      </c>
      <c r="H44" s="46"/>
      <c r="I44" s="46" t="s">
        <v>60</v>
      </c>
      <c r="J44" s="46"/>
      <c r="K44" s="46" t="s">
        <v>52</v>
      </c>
      <c r="L44" s="46"/>
      <c r="M44" s="46" t="s">
        <v>53</v>
      </c>
      <c r="N44" s="47"/>
    </row>
    <row r="45" spans="1:14" x14ac:dyDescent="0.2">
      <c r="A45" s="40">
        <v>232.1</v>
      </c>
      <c r="B45" s="41"/>
      <c r="C45" s="41"/>
      <c r="D45" s="41">
        <v>220.9</v>
      </c>
      <c r="E45" s="41"/>
      <c r="F45" s="41"/>
      <c r="G45" s="42">
        <f>IF(D45="","",(D45/A45))</f>
        <v>0.95174493752692813</v>
      </c>
      <c r="H45" s="42"/>
      <c r="I45" s="41">
        <v>98.9</v>
      </c>
      <c r="J45" s="41"/>
      <c r="K45" s="43">
        <v>86</v>
      </c>
      <c r="L45" s="43"/>
      <c r="M45" s="43">
        <v>34</v>
      </c>
      <c r="N45" s="44"/>
    </row>
    <row r="46" spans="1:14" x14ac:dyDescent="0.2">
      <c r="A46" s="31" t="s">
        <v>54</v>
      </c>
      <c r="B46" s="32"/>
      <c r="C46" s="32"/>
      <c r="D46" s="32"/>
      <c r="E46" s="32"/>
      <c r="F46" s="32"/>
      <c r="G46" s="32"/>
      <c r="H46" s="32"/>
      <c r="I46" s="32"/>
      <c r="J46" s="32"/>
      <c r="K46" s="32"/>
      <c r="L46" s="32"/>
      <c r="M46" s="32"/>
      <c r="N46" s="33"/>
    </row>
    <row r="47" spans="1:14" x14ac:dyDescent="0.2">
      <c r="A47" s="34" t="s">
        <v>103</v>
      </c>
      <c r="B47" s="35"/>
      <c r="C47" s="35"/>
      <c r="D47" s="35"/>
      <c r="E47" s="35"/>
      <c r="F47" s="35"/>
      <c r="G47" s="35"/>
      <c r="H47" s="35"/>
      <c r="I47" s="35"/>
      <c r="J47" s="35"/>
      <c r="K47" s="35"/>
      <c r="L47" s="35"/>
      <c r="M47" s="35"/>
      <c r="N47" s="36"/>
    </row>
    <row r="48" spans="1:14" x14ac:dyDescent="0.2">
      <c r="A48" s="34"/>
      <c r="B48" s="35"/>
      <c r="C48" s="35"/>
      <c r="D48" s="35"/>
      <c r="E48" s="35"/>
      <c r="F48" s="35"/>
      <c r="G48" s="35"/>
      <c r="H48" s="35"/>
      <c r="I48" s="35"/>
      <c r="J48" s="35"/>
      <c r="K48" s="35"/>
      <c r="L48" s="35"/>
      <c r="M48" s="35"/>
      <c r="N48" s="36"/>
    </row>
    <row r="49" spans="1:14" x14ac:dyDescent="0.2">
      <c r="A49" s="34"/>
      <c r="B49" s="35"/>
      <c r="C49" s="35"/>
      <c r="D49" s="35"/>
      <c r="E49" s="35"/>
      <c r="F49" s="35"/>
      <c r="G49" s="35"/>
      <c r="H49" s="35"/>
      <c r="I49" s="35"/>
      <c r="J49" s="35"/>
      <c r="K49" s="35"/>
      <c r="L49" s="35"/>
      <c r="M49" s="35"/>
      <c r="N49" s="36"/>
    </row>
    <row r="50" spans="1:14" x14ac:dyDescent="0.2">
      <c r="A50" s="34"/>
      <c r="B50" s="35"/>
      <c r="C50" s="35"/>
      <c r="D50" s="35"/>
      <c r="E50" s="35"/>
      <c r="F50" s="35"/>
      <c r="G50" s="35"/>
      <c r="H50" s="35"/>
      <c r="I50" s="35"/>
      <c r="J50" s="35"/>
      <c r="K50" s="35"/>
      <c r="L50" s="35"/>
      <c r="M50" s="35"/>
      <c r="N50" s="36"/>
    </row>
    <row r="51" spans="1:14" x14ac:dyDescent="0.2">
      <c r="A51" s="34"/>
      <c r="B51" s="35"/>
      <c r="C51" s="35"/>
      <c r="D51" s="35"/>
      <c r="E51" s="35"/>
      <c r="F51" s="35"/>
      <c r="G51" s="35"/>
      <c r="H51" s="35"/>
      <c r="I51" s="35"/>
      <c r="J51" s="35"/>
      <c r="K51" s="35"/>
      <c r="L51" s="35"/>
      <c r="M51" s="35"/>
      <c r="N51" s="36"/>
    </row>
    <row r="52" spans="1:14" x14ac:dyDescent="0.2">
      <c r="A52" s="34"/>
      <c r="B52" s="35"/>
      <c r="C52" s="35"/>
      <c r="D52" s="35"/>
      <c r="E52" s="35"/>
      <c r="F52" s="35"/>
      <c r="G52" s="35"/>
      <c r="H52" s="35"/>
      <c r="I52" s="35"/>
      <c r="J52" s="35"/>
      <c r="K52" s="35"/>
      <c r="L52" s="35"/>
      <c r="M52" s="35"/>
      <c r="N52" s="36"/>
    </row>
    <row r="53" spans="1:14" x14ac:dyDescent="0.2">
      <c r="A53" s="34"/>
      <c r="B53" s="35"/>
      <c r="C53" s="35"/>
      <c r="D53" s="35"/>
      <c r="E53" s="35"/>
      <c r="F53" s="35"/>
      <c r="G53" s="35"/>
      <c r="H53" s="35"/>
      <c r="I53" s="35"/>
      <c r="J53" s="35"/>
      <c r="K53" s="35"/>
      <c r="L53" s="35"/>
      <c r="M53" s="35"/>
      <c r="N53" s="36"/>
    </row>
    <row r="54" spans="1:14" x14ac:dyDescent="0.2">
      <c r="A54" s="34"/>
      <c r="B54" s="35"/>
      <c r="C54" s="35"/>
      <c r="D54" s="35"/>
      <c r="E54" s="35"/>
      <c r="F54" s="35"/>
      <c r="G54" s="35"/>
      <c r="H54" s="35"/>
      <c r="I54" s="35"/>
      <c r="J54" s="35"/>
      <c r="K54" s="35"/>
      <c r="L54" s="35"/>
      <c r="M54" s="35"/>
      <c r="N54" s="36"/>
    </row>
    <row r="55" spans="1:14" x14ac:dyDescent="0.2">
      <c r="A55" s="34"/>
      <c r="B55" s="35"/>
      <c r="C55" s="35"/>
      <c r="D55" s="35"/>
      <c r="E55" s="35"/>
      <c r="F55" s="35"/>
      <c r="G55" s="35"/>
      <c r="H55" s="35"/>
      <c r="I55" s="35"/>
      <c r="J55" s="35"/>
      <c r="K55" s="35"/>
      <c r="L55" s="35"/>
      <c r="M55" s="35"/>
      <c r="N55" s="36"/>
    </row>
    <row r="56" spans="1:14" x14ac:dyDescent="0.2">
      <c r="A56" s="34"/>
      <c r="B56" s="35"/>
      <c r="C56" s="35"/>
      <c r="D56" s="35"/>
      <c r="E56" s="35"/>
      <c r="F56" s="35"/>
      <c r="G56" s="35"/>
      <c r="H56" s="35"/>
      <c r="I56" s="35"/>
      <c r="J56" s="35"/>
      <c r="K56" s="35"/>
      <c r="L56" s="35"/>
      <c r="M56" s="35"/>
      <c r="N56" s="36"/>
    </row>
    <row r="57" spans="1:14" x14ac:dyDescent="0.2">
      <c r="A57" s="34"/>
      <c r="B57" s="35"/>
      <c r="C57" s="35"/>
      <c r="D57" s="35"/>
      <c r="E57" s="35"/>
      <c r="F57" s="35"/>
      <c r="G57" s="35"/>
      <c r="H57" s="35"/>
      <c r="I57" s="35"/>
      <c r="J57" s="35"/>
      <c r="K57" s="35"/>
      <c r="L57" s="35"/>
      <c r="M57" s="35"/>
      <c r="N57" s="36"/>
    </row>
    <row r="58" spans="1:14" x14ac:dyDescent="0.2">
      <c r="A58" s="34"/>
      <c r="B58" s="35"/>
      <c r="C58" s="35"/>
      <c r="D58" s="35"/>
      <c r="E58" s="35"/>
      <c r="F58" s="35"/>
      <c r="G58" s="35"/>
      <c r="H58" s="35"/>
      <c r="I58" s="35"/>
      <c r="J58" s="35"/>
      <c r="K58" s="35"/>
      <c r="L58" s="35"/>
      <c r="M58" s="35"/>
      <c r="N58" s="36"/>
    </row>
    <row r="59" spans="1:14" x14ac:dyDescent="0.2">
      <c r="A59" s="34"/>
      <c r="B59" s="35"/>
      <c r="C59" s="35"/>
      <c r="D59" s="35"/>
      <c r="E59" s="35"/>
      <c r="F59" s="35"/>
      <c r="G59" s="35"/>
      <c r="H59" s="35"/>
      <c r="I59" s="35"/>
      <c r="J59" s="35"/>
      <c r="K59" s="35"/>
      <c r="L59" s="35"/>
      <c r="M59" s="35"/>
      <c r="N59" s="36"/>
    </row>
    <row r="60" spans="1:14" x14ac:dyDescent="0.2">
      <c r="A60" s="34"/>
      <c r="B60" s="35"/>
      <c r="C60" s="35"/>
      <c r="D60" s="35"/>
      <c r="E60" s="35"/>
      <c r="F60" s="35"/>
      <c r="G60" s="35"/>
      <c r="H60" s="35"/>
      <c r="I60" s="35"/>
      <c r="J60" s="35"/>
      <c r="K60" s="35"/>
      <c r="L60" s="35"/>
      <c r="M60" s="35"/>
      <c r="N60" s="36"/>
    </row>
    <row r="61" spans="1:14" x14ac:dyDescent="0.2">
      <c r="A61" s="34"/>
      <c r="B61" s="35"/>
      <c r="C61" s="35"/>
      <c r="D61" s="35"/>
      <c r="E61" s="35"/>
      <c r="F61" s="35"/>
      <c r="G61" s="35"/>
      <c r="H61" s="35"/>
      <c r="I61" s="35"/>
      <c r="J61" s="35"/>
      <c r="K61" s="35"/>
      <c r="L61" s="35"/>
      <c r="M61" s="35"/>
      <c r="N61" s="36"/>
    </row>
    <row r="62" spans="1:14" x14ac:dyDescent="0.2">
      <c r="A62" s="34"/>
      <c r="B62" s="35"/>
      <c r="C62" s="35"/>
      <c r="D62" s="35"/>
      <c r="E62" s="35"/>
      <c r="F62" s="35"/>
      <c r="G62" s="35"/>
      <c r="H62" s="35"/>
      <c r="I62" s="35"/>
      <c r="J62" s="35"/>
      <c r="K62" s="35"/>
      <c r="L62" s="35"/>
      <c r="M62" s="35"/>
      <c r="N62" s="36"/>
    </row>
    <row r="63" spans="1:14" x14ac:dyDescent="0.2">
      <c r="A63" s="34"/>
      <c r="B63" s="35"/>
      <c r="C63" s="35"/>
      <c r="D63" s="35"/>
      <c r="E63" s="35"/>
      <c r="F63" s="35"/>
      <c r="G63" s="35"/>
      <c r="H63" s="35"/>
      <c r="I63" s="35"/>
      <c r="J63" s="35"/>
      <c r="K63" s="35"/>
      <c r="L63" s="35"/>
      <c r="M63" s="35"/>
      <c r="N63" s="36"/>
    </row>
    <row r="64" spans="1:14" x14ac:dyDescent="0.2">
      <c r="A64" s="34"/>
      <c r="B64" s="35"/>
      <c r="C64" s="35"/>
      <c r="D64" s="35"/>
      <c r="E64" s="35"/>
      <c r="F64" s="35"/>
      <c r="G64" s="35"/>
      <c r="H64" s="35"/>
      <c r="I64" s="35"/>
      <c r="J64" s="35"/>
      <c r="K64" s="35"/>
      <c r="L64" s="35"/>
      <c r="M64" s="35"/>
      <c r="N64" s="36"/>
    </row>
    <row r="65" spans="1:14" x14ac:dyDescent="0.2">
      <c r="A65" s="34"/>
      <c r="B65" s="35"/>
      <c r="C65" s="35"/>
      <c r="D65" s="35"/>
      <c r="E65" s="35"/>
      <c r="F65" s="35"/>
      <c r="G65" s="35"/>
      <c r="H65" s="35"/>
      <c r="I65" s="35"/>
      <c r="J65" s="35"/>
      <c r="K65" s="35"/>
      <c r="L65" s="35"/>
      <c r="M65" s="35"/>
      <c r="N65" s="36"/>
    </row>
    <row r="66" spans="1:14" x14ac:dyDescent="0.2">
      <c r="A66" s="34"/>
      <c r="B66" s="35"/>
      <c r="C66" s="35"/>
      <c r="D66" s="35"/>
      <c r="E66" s="35"/>
      <c r="F66" s="35"/>
      <c r="G66" s="35"/>
      <c r="H66" s="35"/>
      <c r="I66" s="35"/>
      <c r="J66" s="35"/>
      <c r="K66" s="35"/>
      <c r="L66" s="35"/>
      <c r="M66" s="35"/>
      <c r="N66" s="36"/>
    </row>
    <row r="67" spans="1:14" ht="16" thickBot="1" x14ac:dyDescent="0.25">
      <c r="A67" s="37"/>
      <c r="B67" s="38"/>
      <c r="C67" s="38"/>
      <c r="D67" s="38"/>
      <c r="E67" s="38"/>
      <c r="F67" s="38"/>
      <c r="G67" s="38"/>
      <c r="H67" s="38"/>
      <c r="I67" s="38"/>
      <c r="J67" s="38"/>
      <c r="K67" s="38"/>
      <c r="L67" s="38"/>
      <c r="M67" s="38"/>
      <c r="N67" s="39"/>
    </row>
    <row r="68" spans="1:14" x14ac:dyDescent="0.2">
      <c r="A68" s="1"/>
      <c r="B68" s="1"/>
      <c r="C68" s="1"/>
      <c r="D68" s="1"/>
      <c r="E68" s="1"/>
      <c r="F68" s="1"/>
      <c r="G68" s="1"/>
      <c r="H68" s="1"/>
      <c r="I68" s="1"/>
      <c r="J68" s="1"/>
      <c r="K68" s="1"/>
      <c r="L68" s="1"/>
      <c r="M68" s="1"/>
      <c r="N68" s="1"/>
    </row>
  </sheetData>
  <sheetProtection formatCells="0" formatColumns="0" formatRows="0" insertColumns="0" insertRows="0" insertHyperlinks="0" deleteColumns="0" deleteRows="0" sort="0" autoFilter="0" pivotTables="0"/>
  <mergeCells count="107">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L32:L33"/>
    <mergeCell ref="M32:M33"/>
    <mergeCell ref="N32:N33"/>
    <mergeCell ref="J33:K33"/>
    <mergeCell ref="A18:N18"/>
    <mergeCell ref="A19:N19"/>
    <mergeCell ref="A20:N24"/>
    <mergeCell ref="A25:N25"/>
    <mergeCell ref="A26:N30"/>
    <mergeCell ref="A31:K31"/>
    <mergeCell ref="L31:N31"/>
    <mergeCell ref="A34:C34"/>
    <mergeCell ref="J34:K34"/>
    <mergeCell ref="A35:C35"/>
    <mergeCell ref="J35:K35"/>
    <mergeCell ref="A36:C36"/>
    <mergeCell ref="J36:K36"/>
    <mergeCell ref="A32:C33"/>
    <mergeCell ref="D32:F32"/>
    <mergeCell ref="G32:K32"/>
    <mergeCell ref="A40:C40"/>
    <mergeCell ref="J40:K40"/>
    <mergeCell ref="A41:C41"/>
    <mergeCell ref="J41:K41"/>
    <mergeCell ref="A42:C42"/>
    <mergeCell ref="J42:K42"/>
    <mergeCell ref="A37:C37"/>
    <mergeCell ref="J37:K37"/>
    <mergeCell ref="A38:C38"/>
    <mergeCell ref="J38:K38"/>
    <mergeCell ref="A39:C39"/>
    <mergeCell ref="J39:K39"/>
    <mergeCell ref="A46:N46"/>
    <mergeCell ref="A47:N67"/>
    <mergeCell ref="A45:C45"/>
    <mergeCell ref="D45:F45"/>
    <mergeCell ref="G45:H45"/>
    <mergeCell ref="I45:J45"/>
    <mergeCell ref="K45:L45"/>
    <mergeCell ref="M45:N45"/>
    <mergeCell ref="A43:N43"/>
    <mergeCell ref="A44:C44"/>
    <mergeCell ref="D44:F44"/>
    <mergeCell ref="G44:H44"/>
    <mergeCell ref="I44:J44"/>
    <mergeCell ref="K44:L44"/>
    <mergeCell ref="M44:N44"/>
  </mergeCells>
  <conditionalFormatting sqref="C6">
    <cfRule type="notContainsBlanks" dxfId="15" priority="6">
      <formula>LEN(TRIM(C6))&gt;0</formula>
    </cfRule>
  </conditionalFormatting>
  <conditionalFormatting sqref="C11:D16">
    <cfRule type="notContainsBlanks" dxfId="14" priority="1">
      <formula>LEN(TRIM(C11))&gt;0</formula>
    </cfRule>
  </conditionalFormatting>
  <conditionalFormatting sqref="C8:E9">
    <cfRule type="notContainsBlanks" dxfId="13" priority="5">
      <formula>LEN(TRIM(C8))&gt;0</formula>
    </cfRule>
  </conditionalFormatting>
  <conditionalFormatting sqref="G45:H45">
    <cfRule type="notContainsBlanks" dxfId="12" priority="8">
      <formula>LEN(TRIM(G45))&gt;0</formula>
    </cfRule>
  </conditionalFormatting>
  <conditionalFormatting sqref="I5:K9">
    <cfRule type="notContainsBlanks" dxfId="11" priority="4">
      <formula>LEN(TRIM(I5))&gt;0</formula>
    </cfRule>
  </conditionalFormatting>
  <conditionalFormatting sqref="L5:N7">
    <cfRule type="notContainsBlanks" dxfId="10" priority="3">
      <formula>LEN(TRIM(L5))&gt;0</formula>
    </cfRule>
  </conditionalFormatting>
  <conditionalFormatting sqref="L9:N9">
    <cfRule type="notContainsBlanks" dxfId="9" priority="2">
      <formula>LEN(TRIM(L9))&gt;0</formula>
    </cfRule>
  </conditionalFormatting>
  <conditionalFormatting sqref="M1:N1 D2:K3 N2:N3 G11:I16 A18:N18 A20:N24 A26:N30 D34:K42">
    <cfRule type="notContainsBlanks" dxfId="8" priority="7">
      <formula>LEN(TRIM(A1))&gt;0</formula>
    </cfRule>
  </conditionalFormatting>
  <dataValidations count="4">
    <dataValidation type="list" allowBlank="1" showInputMessage="1" showErrorMessage="1" sqref="G15:I16" xr:uid="{F4922FA6-C880-418B-801E-7D5FB163DBD6}">
      <formula1>"Base of Drift, Clearwater Top, Surface Casing, Core Point, Lower Wab / RMZ top, Upper McMurray, Mid McMurray / RMZ Base, Beaverhill Lake, Total Depth"</formula1>
    </dataValidation>
    <dataValidation allowBlank="1" showInputMessage="1" showErrorMessage="1" prompt="Insert any additional comments &amp; photos if necessary " sqref="A47:N67" xr:uid="{A624CE96-3145-445F-9796-DED55BF0E54D}"/>
    <dataValidation allowBlank="1" showInputMessage="1" showErrorMessage="1" prompt="UWI Here" sqref="D3:K3" xr:uid="{1E09EDCD-ED13-4143-B063-FD5B359F53F4}"/>
    <dataValidation allowBlank="1" showInputMessage="1" showErrorMessage="1" prompt="Well Name Here" sqref="D2:K2" xr:uid="{1BCD65A4-EC6E-4A82-9616-2CC1F398894B}"/>
  </dataValidations>
  <pageMargins left="0.7" right="0.7" top="0.75" bottom="0.75" header="0.3" footer="0.3"/>
  <pageSetup scale="60"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8BDAB-6B45-423A-B963-D51E920F15BA}">
  <dimension ref="A1:N68"/>
  <sheetViews>
    <sheetView zoomScaleNormal="100" workbookViewId="0">
      <selection activeCell="M44" sqref="M44:N44"/>
    </sheetView>
  </sheetViews>
  <sheetFormatPr baseColWidth="10" defaultColWidth="8.83203125" defaultRowHeight="15" x14ac:dyDescent="0.2"/>
  <cols>
    <col min="1" max="14" width="10.6640625" customWidth="1"/>
  </cols>
  <sheetData>
    <row r="1" spans="1:14" ht="22" x14ac:dyDescent="0.3">
      <c r="A1" s="109"/>
      <c r="B1" s="110"/>
      <c r="C1" s="110"/>
      <c r="D1" s="113" t="s">
        <v>0</v>
      </c>
      <c r="E1" s="114"/>
      <c r="F1" s="114"/>
      <c r="G1" s="114"/>
      <c r="H1" s="114"/>
      <c r="I1" s="114"/>
      <c r="J1" s="114"/>
      <c r="K1" s="115"/>
      <c r="L1" s="4" t="s">
        <v>7</v>
      </c>
      <c r="M1" s="116">
        <v>46088</v>
      </c>
      <c r="N1" s="117"/>
    </row>
    <row r="2" spans="1:14" ht="21" customHeight="1" x14ac:dyDescent="0.3">
      <c r="A2" s="111"/>
      <c r="B2" s="112"/>
      <c r="C2" s="112"/>
      <c r="D2" s="118" t="s">
        <v>67</v>
      </c>
      <c r="E2" s="119"/>
      <c r="F2" s="119"/>
      <c r="G2" s="119"/>
      <c r="H2" s="119"/>
      <c r="I2" s="119"/>
      <c r="J2" s="119"/>
      <c r="K2" s="120"/>
      <c r="L2" s="121" t="s">
        <v>1</v>
      </c>
      <c r="M2" s="122"/>
      <c r="N2" s="15">
        <f>'Mar 06'!N2+1</f>
        <v>5</v>
      </c>
    </row>
    <row r="3" spans="1:14" ht="24.75" customHeight="1" thickBot="1" x14ac:dyDescent="0.35">
      <c r="A3" s="111"/>
      <c r="B3" s="112"/>
      <c r="C3" s="112"/>
      <c r="D3" s="123" t="s">
        <v>68</v>
      </c>
      <c r="E3" s="124"/>
      <c r="F3" s="124"/>
      <c r="G3" s="124"/>
      <c r="H3" s="124"/>
      <c r="I3" s="124"/>
      <c r="J3" s="124"/>
      <c r="K3" s="125"/>
      <c r="L3" s="126" t="s">
        <v>56</v>
      </c>
      <c r="M3" s="127"/>
      <c r="N3" s="16">
        <v>13</v>
      </c>
    </row>
    <row r="4" spans="1:14" x14ac:dyDescent="0.2">
      <c r="A4" s="140" t="s">
        <v>2</v>
      </c>
      <c r="B4" s="141"/>
      <c r="C4" s="141"/>
      <c r="D4" s="141"/>
      <c r="E4" s="141"/>
      <c r="F4" s="141"/>
      <c r="G4" s="141"/>
      <c r="H4" s="141"/>
      <c r="I4" s="141"/>
      <c r="J4" s="141"/>
      <c r="K4" s="141"/>
      <c r="L4" s="141" t="s">
        <v>62</v>
      </c>
      <c r="M4" s="141"/>
      <c r="N4" s="142"/>
    </row>
    <row r="5" spans="1:14" x14ac:dyDescent="0.2">
      <c r="A5" s="91" t="s">
        <v>3</v>
      </c>
      <c r="B5" s="92"/>
      <c r="C5" s="43" t="s">
        <v>4</v>
      </c>
      <c r="D5" s="43"/>
      <c r="E5" s="43"/>
      <c r="F5" s="46" t="s">
        <v>5</v>
      </c>
      <c r="G5" s="46"/>
      <c r="H5" s="46"/>
      <c r="I5" s="143" t="s">
        <v>71</v>
      </c>
      <c r="J5" s="143"/>
      <c r="K5" s="143"/>
      <c r="L5" s="94" t="s">
        <v>75</v>
      </c>
      <c r="M5" s="94"/>
      <c r="N5" s="139"/>
    </row>
    <row r="6" spans="1:14" x14ac:dyDescent="0.2">
      <c r="A6" s="128" t="s">
        <v>8</v>
      </c>
      <c r="B6" s="129"/>
      <c r="C6" s="130" t="s">
        <v>69</v>
      </c>
      <c r="D6" s="131"/>
      <c r="E6" s="132"/>
      <c r="F6" s="103" t="s">
        <v>6</v>
      </c>
      <c r="G6" s="103"/>
      <c r="H6" s="6" t="s">
        <v>11</v>
      </c>
      <c r="I6" s="94" t="s">
        <v>97</v>
      </c>
      <c r="J6" s="94"/>
      <c r="K6" s="94"/>
      <c r="L6" s="136" t="s">
        <v>98</v>
      </c>
      <c r="M6" s="137"/>
      <c r="N6" s="138"/>
    </row>
    <row r="7" spans="1:14" x14ac:dyDescent="0.2">
      <c r="A7" s="128"/>
      <c r="B7" s="129"/>
      <c r="C7" s="133"/>
      <c r="D7" s="134"/>
      <c r="E7" s="135"/>
      <c r="F7" s="103"/>
      <c r="G7" s="103"/>
      <c r="H7" s="6" t="s">
        <v>12</v>
      </c>
      <c r="I7" s="94" t="s">
        <v>96</v>
      </c>
      <c r="J7" s="94"/>
      <c r="K7" s="94"/>
      <c r="L7" s="94" t="s">
        <v>99</v>
      </c>
      <c r="M7" s="94"/>
      <c r="N7" s="139"/>
    </row>
    <row r="8" spans="1:14" x14ac:dyDescent="0.2">
      <c r="A8" s="102" t="s">
        <v>9</v>
      </c>
      <c r="B8" s="103"/>
      <c r="C8" s="104" t="s">
        <v>70</v>
      </c>
      <c r="D8" s="104"/>
      <c r="E8" s="104"/>
      <c r="F8" s="103" t="s">
        <v>10</v>
      </c>
      <c r="G8" s="103"/>
      <c r="H8" s="2" t="s">
        <v>11</v>
      </c>
      <c r="I8" s="94" t="s">
        <v>73</v>
      </c>
      <c r="J8" s="94"/>
      <c r="K8" s="94"/>
      <c r="L8" s="105" t="s">
        <v>55</v>
      </c>
      <c r="M8" s="106"/>
      <c r="N8" s="107"/>
    </row>
    <row r="9" spans="1:14" x14ac:dyDescent="0.2">
      <c r="A9" s="102"/>
      <c r="B9" s="103"/>
      <c r="C9" s="104"/>
      <c r="D9" s="104"/>
      <c r="E9" s="104"/>
      <c r="F9" s="103"/>
      <c r="G9" s="103"/>
      <c r="H9" s="2" t="s">
        <v>12</v>
      </c>
      <c r="I9" s="94" t="s">
        <v>74</v>
      </c>
      <c r="J9" s="94"/>
      <c r="K9" s="94"/>
      <c r="L9" s="104" t="s">
        <v>78</v>
      </c>
      <c r="M9" s="104"/>
      <c r="N9" s="108"/>
    </row>
    <row r="10" spans="1:14" x14ac:dyDescent="0.2">
      <c r="A10" s="31" t="s">
        <v>31</v>
      </c>
      <c r="B10" s="32"/>
      <c r="C10" s="32"/>
      <c r="D10" s="32"/>
      <c r="E10" s="32"/>
      <c r="F10" s="32"/>
      <c r="G10" s="32"/>
      <c r="H10" s="32"/>
      <c r="I10" s="32"/>
      <c r="J10" s="32"/>
      <c r="K10" s="32"/>
      <c r="L10" s="32"/>
      <c r="M10" s="32"/>
      <c r="N10" s="33"/>
    </row>
    <row r="11" spans="1:14" x14ac:dyDescent="0.2">
      <c r="A11" s="91" t="s">
        <v>13</v>
      </c>
      <c r="B11" s="92"/>
      <c r="C11" s="100" t="s">
        <v>80</v>
      </c>
      <c r="D11" s="94"/>
      <c r="E11" s="92" t="s">
        <v>63</v>
      </c>
      <c r="F11" s="92"/>
      <c r="G11" s="93">
        <v>341</v>
      </c>
      <c r="H11" s="93"/>
      <c r="I11" s="93"/>
      <c r="J11" s="46" t="s">
        <v>27</v>
      </c>
      <c r="K11" s="101"/>
      <c r="L11" s="3" t="s">
        <v>28</v>
      </c>
      <c r="M11" s="3" t="s">
        <v>29</v>
      </c>
      <c r="N11" s="5" t="s">
        <v>30</v>
      </c>
    </row>
    <row r="12" spans="1:14" x14ac:dyDescent="0.2">
      <c r="A12" s="91" t="s">
        <v>14</v>
      </c>
      <c r="B12" s="92"/>
      <c r="C12" s="94" t="s">
        <v>79</v>
      </c>
      <c r="D12" s="94"/>
      <c r="E12" s="92" t="s">
        <v>19</v>
      </c>
      <c r="F12" s="92"/>
      <c r="G12" s="93">
        <f>IF(G11,G11-'Mar 06'!G11,"")</f>
        <v>7</v>
      </c>
      <c r="H12" s="93"/>
      <c r="I12" s="93"/>
      <c r="J12" s="92" t="s">
        <v>24</v>
      </c>
      <c r="K12" s="92"/>
      <c r="L12" s="14">
        <v>251</v>
      </c>
      <c r="M12" s="14">
        <v>88.9</v>
      </c>
      <c r="N12" s="9" t="s">
        <v>84</v>
      </c>
    </row>
    <row r="13" spans="1:14" x14ac:dyDescent="0.2">
      <c r="A13" s="91" t="s">
        <v>15</v>
      </c>
      <c r="B13" s="92"/>
      <c r="C13" s="99">
        <v>46075</v>
      </c>
      <c r="D13" s="99"/>
      <c r="E13" s="92" t="s">
        <v>20</v>
      </c>
      <c r="F13" s="92"/>
      <c r="G13" s="94">
        <f>36.9-34</f>
        <v>2.8999999999999986</v>
      </c>
      <c r="H13" s="94"/>
      <c r="I13" s="94"/>
      <c r="J13" s="92" t="s">
        <v>25</v>
      </c>
      <c r="K13" s="92"/>
      <c r="L13" s="14">
        <v>177.8</v>
      </c>
      <c r="M13" s="14">
        <v>88.9</v>
      </c>
      <c r="N13" s="9" t="s">
        <v>84</v>
      </c>
    </row>
    <row r="14" spans="1:14" x14ac:dyDescent="0.2">
      <c r="A14" s="91" t="s">
        <v>16</v>
      </c>
      <c r="B14" s="92"/>
      <c r="C14" s="93">
        <v>593.79999999999995</v>
      </c>
      <c r="D14" s="93"/>
      <c r="E14" s="92" t="s">
        <v>21</v>
      </c>
      <c r="F14" s="92"/>
      <c r="G14" s="98">
        <f>IF(G13="","",G12/G13)</f>
        <v>2.4137931034482771</v>
      </c>
      <c r="H14" s="98"/>
      <c r="I14" s="98"/>
      <c r="J14" s="92" t="s">
        <v>26</v>
      </c>
      <c r="K14" s="92"/>
      <c r="L14" s="14">
        <v>159</v>
      </c>
      <c r="M14" s="14">
        <v>341</v>
      </c>
      <c r="N14" s="9" t="s">
        <v>85</v>
      </c>
    </row>
    <row r="15" spans="1:14" x14ac:dyDescent="0.2">
      <c r="A15" s="91" t="s">
        <v>17</v>
      </c>
      <c r="B15" s="92"/>
      <c r="C15" s="93">
        <v>589.70000000000005</v>
      </c>
      <c r="D15" s="93"/>
      <c r="E15" s="92" t="s">
        <v>22</v>
      </c>
      <c r="F15" s="92"/>
      <c r="G15" s="94" t="s">
        <v>38</v>
      </c>
      <c r="H15" s="94"/>
      <c r="I15" s="94"/>
      <c r="J15" s="92" t="s">
        <v>83</v>
      </c>
      <c r="K15" s="92"/>
      <c r="L15" s="14">
        <v>114.3</v>
      </c>
      <c r="M15" s="14">
        <v>341</v>
      </c>
      <c r="N15" s="9" t="s">
        <v>85</v>
      </c>
    </row>
    <row r="16" spans="1:14" x14ac:dyDescent="0.2">
      <c r="A16" s="91" t="s">
        <v>18</v>
      </c>
      <c r="B16" s="92"/>
      <c r="C16" s="93">
        <f>IF(C$15="","",C$14-C$15)</f>
        <v>4.0999999999999091</v>
      </c>
      <c r="D16" s="93"/>
      <c r="E16" s="92" t="s">
        <v>23</v>
      </c>
      <c r="F16" s="92"/>
      <c r="G16" s="94" t="s">
        <v>44</v>
      </c>
      <c r="H16" s="94"/>
      <c r="I16" s="94"/>
      <c r="J16" s="92"/>
      <c r="K16" s="92"/>
      <c r="L16" s="14"/>
      <c r="M16" s="14"/>
      <c r="N16" s="9"/>
    </row>
    <row r="17" spans="1:14" ht="16" thickBot="1" x14ac:dyDescent="0.25">
      <c r="A17" s="95" t="s">
        <v>57</v>
      </c>
      <c r="B17" s="96"/>
      <c r="C17" s="96"/>
      <c r="D17" s="96"/>
      <c r="E17" s="96"/>
      <c r="F17" s="96"/>
      <c r="G17" s="96"/>
      <c r="H17" s="96"/>
      <c r="I17" s="96"/>
      <c r="J17" s="96"/>
      <c r="K17" s="96"/>
      <c r="L17" s="96"/>
      <c r="M17" s="96"/>
      <c r="N17" s="97"/>
    </row>
    <row r="18" spans="1:14" ht="16" thickBot="1" x14ac:dyDescent="0.25">
      <c r="A18" s="76" t="s">
        <v>106</v>
      </c>
      <c r="B18" s="77"/>
      <c r="C18" s="77"/>
      <c r="D18" s="77"/>
      <c r="E18" s="77"/>
      <c r="F18" s="77"/>
      <c r="G18" s="77"/>
      <c r="H18" s="77"/>
      <c r="I18" s="77"/>
      <c r="J18" s="77"/>
      <c r="K18" s="77"/>
      <c r="L18" s="77"/>
      <c r="M18" s="77"/>
      <c r="N18" s="78"/>
    </row>
    <row r="19" spans="1:14" ht="16" thickBot="1" x14ac:dyDescent="0.25">
      <c r="A19" s="79" t="s">
        <v>32</v>
      </c>
      <c r="B19" s="80"/>
      <c r="C19" s="80"/>
      <c r="D19" s="80"/>
      <c r="E19" s="80"/>
      <c r="F19" s="80"/>
      <c r="G19" s="80"/>
      <c r="H19" s="80"/>
      <c r="I19" s="80"/>
      <c r="J19" s="80"/>
      <c r="K19" s="80"/>
      <c r="L19" s="80"/>
      <c r="M19" s="80"/>
      <c r="N19" s="81"/>
    </row>
    <row r="20" spans="1:14" x14ac:dyDescent="0.2">
      <c r="A20" s="144" t="s">
        <v>107</v>
      </c>
      <c r="B20" s="145"/>
      <c r="C20" s="145"/>
      <c r="D20" s="145"/>
      <c r="E20" s="145"/>
      <c r="F20" s="145"/>
      <c r="G20" s="145"/>
      <c r="H20" s="145"/>
      <c r="I20" s="145"/>
      <c r="J20" s="145"/>
      <c r="K20" s="145"/>
      <c r="L20" s="145"/>
      <c r="M20" s="145"/>
      <c r="N20" s="146"/>
    </row>
    <row r="21" spans="1:14" x14ac:dyDescent="0.2">
      <c r="A21" s="147"/>
      <c r="B21" s="148"/>
      <c r="C21" s="148"/>
      <c r="D21" s="148"/>
      <c r="E21" s="148"/>
      <c r="F21" s="148"/>
      <c r="G21" s="148"/>
      <c r="H21" s="148"/>
      <c r="I21" s="148"/>
      <c r="J21" s="148"/>
      <c r="K21" s="148"/>
      <c r="L21" s="148"/>
      <c r="M21" s="148"/>
      <c r="N21" s="149"/>
    </row>
    <row r="22" spans="1:14" ht="19.5" customHeight="1" thickBot="1" x14ac:dyDescent="0.25">
      <c r="A22" s="147"/>
      <c r="B22" s="148"/>
      <c r="C22" s="148"/>
      <c r="D22" s="148"/>
      <c r="E22" s="148"/>
      <c r="F22" s="148"/>
      <c r="G22" s="148"/>
      <c r="H22" s="148"/>
      <c r="I22" s="148"/>
      <c r="J22" s="148"/>
      <c r="K22" s="148"/>
      <c r="L22" s="148"/>
      <c r="M22" s="148"/>
      <c r="N22" s="149"/>
    </row>
    <row r="23" spans="1:14" ht="15" hidden="1" customHeight="1" thickBot="1" x14ac:dyDescent="0.25">
      <c r="A23" s="147"/>
      <c r="B23" s="148"/>
      <c r="C23" s="148"/>
      <c r="D23" s="148"/>
      <c r="E23" s="148"/>
      <c r="F23" s="148"/>
      <c r="G23" s="148"/>
      <c r="H23" s="148"/>
      <c r="I23" s="148"/>
      <c r="J23" s="148"/>
      <c r="K23" s="148"/>
      <c r="L23" s="148"/>
      <c r="M23" s="148"/>
      <c r="N23" s="149"/>
    </row>
    <row r="24" spans="1:14" ht="15" hidden="1" customHeight="1" thickBot="1" x14ac:dyDescent="0.25">
      <c r="A24" s="150"/>
      <c r="B24" s="151"/>
      <c r="C24" s="151"/>
      <c r="D24" s="151"/>
      <c r="E24" s="151"/>
      <c r="F24" s="151"/>
      <c r="G24" s="151"/>
      <c r="H24" s="151"/>
      <c r="I24" s="151"/>
      <c r="J24" s="151"/>
      <c r="K24" s="151"/>
      <c r="L24" s="151"/>
      <c r="M24" s="151"/>
      <c r="N24" s="152"/>
    </row>
    <row r="25" spans="1:14" ht="16" thickBot="1" x14ac:dyDescent="0.25">
      <c r="A25" s="79" t="s">
        <v>33</v>
      </c>
      <c r="B25" s="80"/>
      <c r="C25" s="80"/>
      <c r="D25" s="80"/>
      <c r="E25" s="80"/>
      <c r="F25" s="80"/>
      <c r="G25" s="80"/>
      <c r="H25" s="80"/>
      <c r="I25" s="80"/>
      <c r="J25" s="80"/>
      <c r="K25" s="80"/>
      <c r="L25" s="80"/>
      <c r="M25" s="80"/>
      <c r="N25" s="81"/>
    </row>
    <row r="26" spans="1:14" x14ac:dyDescent="0.2">
      <c r="A26" s="144" t="s">
        <v>104</v>
      </c>
      <c r="B26" s="145"/>
      <c r="C26" s="145"/>
      <c r="D26" s="145"/>
      <c r="E26" s="145"/>
      <c r="F26" s="145"/>
      <c r="G26" s="145"/>
      <c r="H26" s="145"/>
      <c r="I26" s="145"/>
      <c r="J26" s="145"/>
      <c r="K26" s="145"/>
      <c r="L26" s="145"/>
      <c r="M26" s="145"/>
      <c r="N26" s="146"/>
    </row>
    <row r="27" spans="1:14" ht="15" customHeight="1" thickBot="1" x14ac:dyDescent="0.25">
      <c r="A27" s="147"/>
      <c r="B27" s="148"/>
      <c r="C27" s="148"/>
      <c r="D27" s="148"/>
      <c r="E27" s="148"/>
      <c r="F27" s="148"/>
      <c r="G27" s="148"/>
      <c r="H27" s="148"/>
      <c r="I27" s="148"/>
      <c r="J27" s="148"/>
      <c r="K27" s="148"/>
      <c r="L27" s="148"/>
      <c r="M27" s="148"/>
      <c r="N27" s="149"/>
    </row>
    <row r="28" spans="1:14" ht="15" hidden="1" customHeight="1" thickBot="1" x14ac:dyDescent="0.25">
      <c r="A28" s="147"/>
      <c r="B28" s="148"/>
      <c r="C28" s="148"/>
      <c r="D28" s="148"/>
      <c r="E28" s="148"/>
      <c r="F28" s="148"/>
      <c r="G28" s="148"/>
      <c r="H28" s="148"/>
      <c r="I28" s="148"/>
      <c r="J28" s="148"/>
      <c r="K28" s="148"/>
      <c r="L28" s="148"/>
      <c r="M28" s="148"/>
      <c r="N28" s="149"/>
    </row>
    <row r="29" spans="1:14" ht="15" hidden="1" customHeight="1" thickBot="1" x14ac:dyDescent="0.25">
      <c r="A29" s="147"/>
      <c r="B29" s="148"/>
      <c r="C29" s="148"/>
      <c r="D29" s="148"/>
      <c r="E29" s="148"/>
      <c r="F29" s="148"/>
      <c r="G29" s="148"/>
      <c r="H29" s="148"/>
      <c r="I29" s="148"/>
      <c r="J29" s="148"/>
      <c r="K29" s="148"/>
      <c r="L29" s="148"/>
      <c r="M29" s="148"/>
      <c r="N29" s="149"/>
    </row>
    <row r="30" spans="1:14" ht="15" hidden="1" customHeight="1" thickBot="1" x14ac:dyDescent="0.25">
      <c r="A30" s="150"/>
      <c r="B30" s="151"/>
      <c r="C30" s="151"/>
      <c r="D30" s="151"/>
      <c r="E30" s="151"/>
      <c r="F30" s="151"/>
      <c r="G30" s="151"/>
      <c r="H30" s="151"/>
      <c r="I30" s="151"/>
      <c r="J30" s="151"/>
      <c r="K30" s="151"/>
      <c r="L30" s="151"/>
      <c r="M30" s="151"/>
      <c r="N30" s="152"/>
    </row>
    <row r="31" spans="1:14" ht="16" thickBot="1" x14ac:dyDescent="0.25">
      <c r="A31" s="79" t="s">
        <v>34</v>
      </c>
      <c r="B31" s="80"/>
      <c r="C31" s="80"/>
      <c r="D31" s="80"/>
      <c r="E31" s="80"/>
      <c r="F31" s="80"/>
      <c r="G31" s="80"/>
      <c r="H31" s="80"/>
      <c r="I31" s="80"/>
      <c r="J31" s="80"/>
      <c r="K31" s="81"/>
      <c r="L31" s="79" t="s">
        <v>58</v>
      </c>
      <c r="M31" s="80"/>
      <c r="N31" s="81"/>
    </row>
    <row r="32" spans="1:14" x14ac:dyDescent="0.2">
      <c r="A32" s="58" t="s">
        <v>47</v>
      </c>
      <c r="B32" s="59"/>
      <c r="C32" s="60"/>
      <c r="D32" s="64" t="s">
        <v>40</v>
      </c>
      <c r="E32" s="64"/>
      <c r="F32" s="64"/>
      <c r="G32" s="65" t="s">
        <v>43</v>
      </c>
      <c r="H32" s="66"/>
      <c r="I32" s="66"/>
      <c r="J32" s="66"/>
      <c r="K32" s="67"/>
      <c r="L32" s="68" t="s">
        <v>64</v>
      </c>
      <c r="M32" s="70" t="s">
        <v>61</v>
      </c>
      <c r="N32" s="72" t="s">
        <v>59</v>
      </c>
    </row>
    <row r="33" spans="1:14" x14ac:dyDescent="0.2">
      <c r="A33" s="61"/>
      <c r="B33" s="62"/>
      <c r="C33" s="63"/>
      <c r="D33" s="3" t="s">
        <v>42</v>
      </c>
      <c r="E33" s="3" t="s">
        <v>45</v>
      </c>
      <c r="F33" s="3" t="s">
        <v>65</v>
      </c>
      <c r="G33" s="3" t="s">
        <v>42</v>
      </c>
      <c r="H33" s="3" t="s">
        <v>41</v>
      </c>
      <c r="I33" s="3" t="s">
        <v>65</v>
      </c>
      <c r="J33" s="74" t="s">
        <v>46</v>
      </c>
      <c r="K33" s="75"/>
      <c r="L33" s="69"/>
      <c r="M33" s="71"/>
      <c r="N33" s="73"/>
    </row>
    <row r="34" spans="1:14" x14ac:dyDescent="0.2">
      <c r="A34" s="48" t="s">
        <v>25</v>
      </c>
      <c r="B34" s="49"/>
      <c r="C34" s="50"/>
      <c r="D34" s="17">
        <v>85.799999999999955</v>
      </c>
      <c r="E34" s="18">
        <f>IF(F34="","",C$14-F34)</f>
        <v>85.799999999999955</v>
      </c>
      <c r="F34" s="17">
        <v>508</v>
      </c>
      <c r="G34" s="14">
        <v>88.9</v>
      </c>
      <c r="H34" s="14">
        <v>88.9</v>
      </c>
      <c r="I34" s="18">
        <f>IF(H34="","",C$14-H34)</f>
        <v>504.9</v>
      </c>
      <c r="J34" s="51">
        <f>IF(OR(H34="",F34=""),"",E34-H34)</f>
        <v>-3.1000000000000512</v>
      </c>
      <c r="K34" s="52"/>
      <c r="L34" s="23">
        <v>150</v>
      </c>
      <c r="M34" s="24">
        <v>3.0303030303030303</v>
      </c>
      <c r="N34" s="9">
        <v>18.2</v>
      </c>
    </row>
    <row r="35" spans="1:14" x14ac:dyDescent="0.2">
      <c r="A35" s="48" t="s">
        <v>81</v>
      </c>
      <c r="B35" s="49"/>
      <c r="C35" s="50"/>
      <c r="D35" s="17">
        <v>85.799999999999955</v>
      </c>
      <c r="E35" s="18">
        <f t="shared" ref="E35:E42" si="0">IF(F35="","",C$14-F35)</f>
        <v>85.799999999999955</v>
      </c>
      <c r="F35" s="17">
        <v>508</v>
      </c>
      <c r="G35" s="14">
        <v>98.9</v>
      </c>
      <c r="H35" s="14">
        <v>98.9</v>
      </c>
      <c r="I35" s="18">
        <f t="shared" ref="I35:I42" si="1">IF(H35="","",C$14-H35)</f>
        <v>494.9</v>
      </c>
      <c r="J35" s="51">
        <f t="shared" ref="J35:J42" si="2">IF(OR(H35="",F35=""),"",E35-H35)</f>
        <v>-13.100000000000051</v>
      </c>
      <c r="K35" s="52"/>
      <c r="L35" s="23">
        <v>154</v>
      </c>
      <c r="M35" s="22">
        <v>2.5</v>
      </c>
      <c r="N35" s="25">
        <v>18</v>
      </c>
    </row>
    <row r="36" spans="1:14" x14ac:dyDescent="0.2">
      <c r="A36" s="48" t="s">
        <v>35</v>
      </c>
      <c r="B36" s="49"/>
      <c r="C36" s="50"/>
      <c r="D36" s="17">
        <v>187.09999999999997</v>
      </c>
      <c r="E36" s="18">
        <f t="shared" si="0"/>
        <v>187.09999999999997</v>
      </c>
      <c r="F36" s="17">
        <v>406.7</v>
      </c>
      <c r="G36" s="14"/>
      <c r="H36" s="14"/>
      <c r="I36" s="18" t="str">
        <f t="shared" si="1"/>
        <v/>
      </c>
      <c r="J36" s="51" t="str">
        <f t="shared" si="2"/>
        <v/>
      </c>
      <c r="K36" s="52"/>
      <c r="L36" s="23">
        <v>180</v>
      </c>
      <c r="M36" s="22">
        <v>2.2999999999999998</v>
      </c>
      <c r="N36" s="9">
        <v>23.2</v>
      </c>
    </row>
    <row r="37" spans="1:14" x14ac:dyDescent="0.2">
      <c r="A37" s="48" t="s">
        <v>36</v>
      </c>
      <c r="B37" s="49"/>
      <c r="C37" s="50"/>
      <c r="D37" s="17">
        <v>187.09999999999997</v>
      </c>
      <c r="E37" s="18">
        <f t="shared" si="0"/>
        <v>187.09999999999997</v>
      </c>
      <c r="F37" s="17">
        <v>406.7</v>
      </c>
      <c r="G37" s="14"/>
      <c r="H37" s="14"/>
      <c r="I37" s="18" t="str">
        <f t="shared" si="1"/>
        <v/>
      </c>
      <c r="J37" s="51" t="str">
        <f t="shared" si="2"/>
        <v/>
      </c>
      <c r="K37" s="52"/>
      <c r="L37" s="23">
        <v>205</v>
      </c>
      <c r="M37" s="22">
        <v>2.1</v>
      </c>
      <c r="N37" s="9">
        <v>20.3</v>
      </c>
    </row>
    <row r="38" spans="1:14" x14ac:dyDescent="0.2">
      <c r="A38" s="48" t="s">
        <v>82</v>
      </c>
      <c r="B38" s="49"/>
      <c r="C38" s="50"/>
      <c r="D38" s="17">
        <v>242.19999999999993</v>
      </c>
      <c r="E38" s="18">
        <f t="shared" si="0"/>
        <v>242.19999999999993</v>
      </c>
      <c r="F38" s="17">
        <v>351.6</v>
      </c>
      <c r="G38" s="14"/>
      <c r="H38" s="14"/>
      <c r="I38" s="18" t="str">
        <f t="shared" si="1"/>
        <v/>
      </c>
      <c r="J38" s="51" t="str">
        <f t="shared" si="2"/>
        <v/>
      </c>
      <c r="K38" s="52"/>
      <c r="L38" s="23">
        <v>222</v>
      </c>
      <c r="M38" s="22">
        <v>1.9</v>
      </c>
      <c r="N38" s="9">
        <v>20</v>
      </c>
    </row>
    <row r="39" spans="1:14" x14ac:dyDescent="0.2">
      <c r="A39" s="48" t="s">
        <v>37</v>
      </c>
      <c r="B39" s="49"/>
      <c r="C39" s="50"/>
      <c r="D39" s="17">
        <v>244.29999999999995</v>
      </c>
      <c r="E39" s="18">
        <f t="shared" si="0"/>
        <v>244.29999999999995</v>
      </c>
      <c r="F39" s="17">
        <v>349.5</v>
      </c>
      <c r="G39" s="14">
        <v>244.5</v>
      </c>
      <c r="H39" s="14">
        <v>244.5</v>
      </c>
      <c r="I39" s="18">
        <f t="shared" si="1"/>
        <v>349.29999999999995</v>
      </c>
      <c r="J39" s="51">
        <f t="shared" si="2"/>
        <v>-0.20000000000004547</v>
      </c>
      <c r="K39" s="52"/>
      <c r="L39" s="27">
        <v>238</v>
      </c>
      <c r="M39" s="24">
        <v>2.5773195876288661</v>
      </c>
      <c r="N39" s="29">
        <v>19.600000000000001</v>
      </c>
    </row>
    <row r="40" spans="1:14" x14ac:dyDescent="0.2">
      <c r="A40" s="48" t="s">
        <v>44</v>
      </c>
      <c r="B40" s="49"/>
      <c r="C40" s="50"/>
      <c r="D40" s="17">
        <v>247.19999999999993</v>
      </c>
      <c r="E40" s="18">
        <f t="shared" si="0"/>
        <v>247.19999999999993</v>
      </c>
      <c r="F40" s="17">
        <v>346.6</v>
      </c>
      <c r="G40" s="14"/>
      <c r="H40" s="14"/>
      <c r="I40" s="18" t="str">
        <f t="shared" si="1"/>
        <v/>
      </c>
      <c r="J40" s="51" t="str">
        <f t="shared" si="2"/>
        <v/>
      </c>
      <c r="K40" s="52"/>
      <c r="L40" s="27">
        <v>272</v>
      </c>
      <c r="M40" s="24">
        <v>1.8281535648994516</v>
      </c>
      <c r="N40" s="29">
        <v>20.399999999999999</v>
      </c>
    </row>
    <row r="41" spans="1:14" ht="16" thickBot="1" x14ac:dyDescent="0.25">
      <c r="A41" s="48" t="s">
        <v>38</v>
      </c>
      <c r="B41" s="49"/>
      <c r="C41" s="50"/>
      <c r="D41" s="17">
        <v>324.19999999999993</v>
      </c>
      <c r="E41" s="18">
        <f t="shared" si="0"/>
        <v>324.19999999999993</v>
      </c>
      <c r="F41" s="17">
        <v>269.60000000000002</v>
      </c>
      <c r="G41" s="14">
        <v>328</v>
      </c>
      <c r="H41" s="14">
        <v>328</v>
      </c>
      <c r="I41" s="18">
        <f t="shared" si="1"/>
        <v>265.79999999999995</v>
      </c>
      <c r="J41" s="51">
        <f t="shared" si="2"/>
        <v>-3.8000000000000682</v>
      </c>
      <c r="K41" s="52"/>
      <c r="L41" s="28">
        <v>322</v>
      </c>
      <c r="M41" s="26">
        <v>2.0040080160320639</v>
      </c>
      <c r="N41" s="30">
        <v>18.600000000000001</v>
      </c>
    </row>
    <row r="42" spans="1:14" ht="16" thickBot="1" x14ac:dyDescent="0.25">
      <c r="A42" s="53" t="s">
        <v>39</v>
      </c>
      <c r="B42" s="54"/>
      <c r="C42" s="55"/>
      <c r="D42" s="19">
        <v>337.19999999999993</v>
      </c>
      <c r="E42" s="20">
        <f t="shared" si="0"/>
        <v>337.19999999999993</v>
      </c>
      <c r="F42" s="19">
        <v>256.60000000000002</v>
      </c>
      <c r="G42" s="21">
        <v>341</v>
      </c>
      <c r="H42" s="21">
        <v>341</v>
      </c>
      <c r="I42" s="20">
        <f t="shared" si="1"/>
        <v>252.79999999999995</v>
      </c>
      <c r="J42" s="56">
        <f t="shared" si="2"/>
        <v>-3.8000000000000682</v>
      </c>
      <c r="K42" s="57"/>
      <c r="L42" s="28">
        <v>341</v>
      </c>
      <c r="M42" s="26">
        <v>1.91</v>
      </c>
      <c r="N42" s="30">
        <v>18.600000000000001</v>
      </c>
    </row>
    <row r="43" spans="1:14" x14ac:dyDescent="0.2">
      <c r="A43" s="31" t="s">
        <v>48</v>
      </c>
      <c r="B43" s="32"/>
      <c r="C43" s="32"/>
      <c r="D43" s="32"/>
      <c r="E43" s="32"/>
      <c r="F43" s="32"/>
      <c r="G43" s="32"/>
      <c r="H43" s="32"/>
      <c r="I43" s="32"/>
      <c r="J43" s="32"/>
      <c r="K43" s="32"/>
      <c r="L43" s="32"/>
      <c r="M43" s="32"/>
      <c r="N43" s="33"/>
    </row>
    <row r="44" spans="1:14" x14ac:dyDescent="0.2">
      <c r="A44" s="45" t="s">
        <v>49</v>
      </c>
      <c r="B44" s="46"/>
      <c r="C44" s="46"/>
      <c r="D44" s="46" t="s">
        <v>50</v>
      </c>
      <c r="E44" s="46"/>
      <c r="F44" s="46"/>
      <c r="G44" s="46" t="s">
        <v>51</v>
      </c>
      <c r="H44" s="46"/>
      <c r="I44" s="46" t="s">
        <v>60</v>
      </c>
      <c r="J44" s="46"/>
      <c r="K44" s="46" t="s">
        <v>52</v>
      </c>
      <c r="L44" s="46"/>
      <c r="M44" s="46" t="s">
        <v>53</v>
      </c>
      <c r="N44" s="47"/>
    </row>
    <row r="45" spans="1:14" x14ac:dyDescent="0.2">
      <c r="A45" s="40">
        <v>235.4</v>
      </c>
      <c r="B45" s="41"/>
      <c r="C45" s="41"/>
      <c r="D45" s="41">
        <v>221.2</v>
      </c>
      <c r="E45" s="41"/>
      <c r="F45" s="41"/>
      <c r="G45" s="42">
        <f>IF(D45="","",(D45/A45))</f>
        <v>0.93967714528462187</v>
      </c>
      <c r="H45" s="42"/>
      <c r="I45" s="41">
        <v>98.9</v>
      </c>
      <c r="J45" s="41"/>
      <c r="K45" s="43">
        <v>88</v>
      </c>
      <c r="L45" s="43"/>
      <c r="M45" s="43">
        <v>36.9</v>
      </c>
      <c r="N45" s="44"/>
    </row>
    <row r="46" spans="1:14" x14ac:dyDescent="0.2">
      <c r="A46" s="31" t="s">
        <v>54</v>
      </c>
      <c r="B46" s="32"/>
      <c r="C46" s="32"/>
      <c r="D46" s="32"/>
      <c r="E46" s="32"/>
      <c r="F46" s="32"/>
      <c r="G46" s="32"/>
      <c r="H46" s="32"/>
      <c r="I46" s="32"/>
      <c r="J46" s="32"/>
      <c r="K46" s="32"/>
      <c r="L46" s="32"/>
      <c r="M46" s="32"/>
      <c r="N46" s="33"/>
    </row>
    <row r="47" spans="1:14" x14ac:dyDescent="0.2">
      <c r="A47" s="34" t="s">
        <v>105</v>
      </c>
      <c r="B47" s="35"/>
      <c r="C47" s="35"/>
      <c r="D47" s="35"/>
      <c r="E47" s="35"/>
      <c r="F47" s="35"/>
      <c r="G47" s="35"/>
      <c r="H47" s="35"/>
      <c r="I47" s="35"/>
      <c r="J47" s="35"/>
      <c r="K47" s="35"/>
      <c r="L47" s="35"/>
      <c r="M47" s="35"/>
      <c r="N47" s="36"/>
    </row>
    <row r="48" spans="1:14" x14ac:dyDescent="0.2">
      <c r="A48" s="34"/>
      <c r="B48" s="35"/>
      <c r="C48" s="35"/>
      <c r="D48" s="35"/>
      <c r="E48" s="35"/>
      <c r="F48" s="35"/>
      <c r="G48" s="35"/>
      <c r="H48" s="35"/>
      <c r="I48" s="35"/>
      <c r="J48" s="35"/>
      <c r="K48" s="35"/>
      <c r="L48" s="35"/>
      <c r="M48" s="35"/>
      <c r="N48" s="36"/>
    </row>
    <row r="49" spans="1:14" x14ac:dyDescent="0.2">
      <c r="A49" s="34"/>
      <c r="B49" s="35"/>
      <c r="C49" s="35"/>
      <c r="D49" s="35"/>
      <c r="E49" s="35"/>
      <c r="F49" s="35"/>
      <c r="G49" s="35"/>
      <c r="H49" s="35"/>
      <c r="I49" s="35"/>
      <c r="J49" s="35"/>
      <c r="K49" s="35"/>
      <c r="L49" s="35"/>
      <c r="M49" s="35"/>
      <c r="N49" s="36"/>
    </row>
    <row r="50" spans="1:14" x14ac:dyDescent="0.2">
      <c r="A50" s="34"/>
      <c r="B50" s="35"/>
      <c r="C50" s="35"/>
      <c r="D50" s="35"/>
      <c r="E50" s="35"/>
      <c r="F50" s="35"/>
      <c r="G50" s="35"/>
      <c r="H50" s="35"/>
      <c r="I50" s="35"/>
      <c r="J50" s="35"/>
      <c r="K50" s="35"/>
      <c r="L50" s="35"/>
      <c r="M50" s="35"/>
      <c r="N50" s="36"/>
    </row>
    <row r="51" spans="1:14" x14ac:dyDescent="0.2">
      <c r="A51" s="34"/>
      <c r="B51" s="35"/>
      <c r="C51" s="35"/>
      <c r="D51" s="35"/>
      <c r="E51" s="35"/>
      <c r="F51" s="35"/>
      <c r="G51" s="35"/>
      <c r="H51" s="35"/>
      <c r="I51" s="35"/>
      <c r="J51" s="35"/>
      <c r="K51" s="35"/>
      <c r="L51" s="35"/>
      <c r="M51" s="35"/>
      <c r="N51" s="36"/>
    </row>
    <row r="52" spans="1:14" x14ac:dyDescent="0.2">
      <c r="A52" s="34"/>
      <c r="B52" s="35"/>
      <c r="C52" s="35"/>
      <c r="D52" s="35"/>
      <c r="E52" s="35"/>
      <c r="F52" s="35"/>
      <c r="G52" s="35"/>
      <c r="H52" s="35"/>
      <c r="I52" s="35"/>
      <c r="J52" s="35"/>
      <c r="K52" s="35"/>
      <c r="L52" s="35"/>
      <c r="M52" s="35"/>
      <c r="N52" s="36"/>
    </row>
    <row r="53" spans="1:14" x14ac:dyDescent="0.2">
      <c r="A53" s="34"/>
      <c r="B53" s="35"/>
      <c r="C53" s="35"/>
      <c r="D53" s="35"/>
      <c r="E53" s="35"/>
      <c r="F53" s="35"/>
      <c r="G53" s="35"/>
      <c r="H53" s="35"/>
      <c r="I53" s="35"/>
      <c r="J53" s="35"/>
      <c r="K53" s="35"/>
      <c r="L53" s="35"/>
      <c r="M53" s="35"/>
      <c r="N53" s="36"/>
    </row>
    <row r="54" spans="1:14" x14ac:dyDescent="0.2">
      <c r="A54" s="34"/>
      <c r="B54" s="35"/>
      <c r="C54" s="35"/>
      <c r="D54" s="35"/>
      <c r="E54" s="35"/>
      <c r="F54" s="35"/>
      <c r="G54" s="35"/>
      <c r="H54" s="35"/>
      <c r="I54" s="35"/>
      <c r="J54" s="35"/>
      <c r="K54" s="35"/>
      <c r="L54" s="35"/>
      <c r="M54" s="35"/>
      <c r="N54" s="36"/>
    </row>
    <row r="55" spans="1:14" x14ac:dyDescent="0.2">
      <c r="A55" s="34"/>
      <c r="B55" s="35"/>
      <c r="C55" s="35"/>
      <c r="D55" s="35"/>
      <c r="E55" s="35"/>
      <c r="F55" s="35"/>
      <c r="G55" s="35"/>
      <c r="H55" s="35"/>
      <c r="I55" s="35"/>
      <c r="J55" s="35"/>
      <c r="K55" s="35"/>
      <c r="L55" s="35"/>
      <c r="M55" s="35"/>
      <c r="N55" s="36"/>
    </row>
    <row r="56" spans="1:14" x14ac:dyDescent="0.2">
      <c r="A56" s="34"/>
      <c r="B56" s="35"/>
      <c r="C56" s="35"/>
      <c r="D56" s="35"/>
      <c r="E56" s="35"/>
      <c r="F56" s="35"/>
      <c r="G56" s="35"/>
      <c r="H56" s="35"/>
      <c r="I56" s="35"/>
      <c r="J56" s="35"/>
      <c r="K56" s="35"/>
      <c r="L56" s="35"/>
      <c r="M56" s="35"/>
      <c r="N56" s="36"/>
    </row>
    <row r="57" spans="1:14" x14ac:dyDescent="0.2">
      <c r="A57" s="34"/>
      <c r="B57" s="35"/>
      <c r="C57" s="35"/>
      <c r="D57" s="35"/>
      <c r="E57" s="35"/>
      <c r="F57" s="35"/>
      <c r="G57" s="35"/>
      <c r="H57" s="35"/>
      <c r="I57" s="35"/>
      <c r="J57" s="35"/>
      <c r="K57" s="35"/>
      <c r="L57" s="35"/>
      <c r="M57" s="35"/>
      <c r="N57" s="36"/>
    </row>
    <row r="58" spans="1:14" x14ac:dyDescent="0.2">
      <c r="A58" s="34"/>
      <c r="B58" s="35"/>
      <c r="C58" s="35"/>
      <c r="D58" s="35"/>
      <c r="E58" s="35"/>
      <c r="F58" s="35"/>
      <c r="G58" s="35"/>
      <c r="H58" s="35"/>
      <c r="I58" s="35"/>
      <c r="J58" s="35"/>
      <c r="K58" s="35"/>
      <c r="L58" s="35"/>
      <c r="M58" s="35"/>
      <c r="N58" s="36"/>
    </row>
    <row r="59" spans="1:14" x14ac:dyDescent="0.2">
      <c r="A59" s="34"/>
      <c r="B59" s="35"/>
      <c r="C59" s="35"/>
      <c r="D59" s="35"/>
      <c r="E59" s="35"/>
      <c r="F59" s="35"/>
      <c r="G59" s="35"/>
      <c r="H59" s="35"/>
      <c r="I59" s="35"/>
      <c r="J59" s="35"/>
      <c r="K59" s="35"/>
      <c r="L59" s="35"/>
      <c r="M59" s="35"/>
      <c r="N59" s="36"/>
    </row>
    <row r="60" spans="1:14" x14ac:dyDescent="0.2">
      <c r="A60" s="34"/>
      <c r="B60" s="35"/>
      <c r="C60" s="35"/>
      <c r="D60" s="35"/>
      <c r="E60" s="35"/>
      <c r="F60" s="35"/>
      <c r="G60" s="35"/>
      <c r="H60" s="35"/>
      <c r="I60" s="35"/>
      <c r="J60" s="35"/>
      <c r="K60" s="35"/>
      <c r="L60" s="35"/>
      <c r="M60" s="35"/>
      <c r="N60" s="36"/>
    </row>
    <row r="61" spans="1:14" x14ac:dyDescent="0.2">
      <c r="A61" s="34"/>
      <c r="B61" s="35"/>
      <c r="C61" s="35"/>
      <c r="D61" s="35"/>
      <c r="E61" s="35"/>
      <c r="F61" s="35"/>
      <c r="G61" s="35"/>
      <c r="H61" s="35"/>
      <c r="I61" s="35"/>
      <c r="J61" s="35"/>
      <c r="K61" s="35"/>
      <c r="L61" s="35"/>
      <c r="M61" s="35"/>
      <c r="N61" s="36"/>
    </row>
    <row r="62" spans="1:14" x14ac:dyDescent="0.2">
      <c r="A62" s="34"/>
      <c r="B62" s="35"/>
      <c r="C62" s="35"/>
      <c r="D62" s="35"/>
      <c r="E62" s="35"/>
      <c r="F62" s="35"/>
      <c r="G62" s="35"/>
      <c r="H62" s="35"/>
      <c r="I62" s="35"/>
      <c r="J62" s="35"/>
      <c r="K62" s="35"/>
      <c r="L62" s="35"/>
      <c r="M62" s="35"/>
      <c r="N62" s="36"/>
    </row>
    <row r="63" spans="1:14" x14ac:dyDescent="0.2">
      <c r="A63" s="34"/>
      <c r="B63" s="35"/>
      <c r="C63" s="35"/>
      <c r="D63" s="35"/>
      <c r="E63" s="35"/>
      <c r="F63" s="35"/>
      <c r="G63" s="35"/>
      <c r="H63" s="35"/>
      <c r="I63" s="35"/>
      <c r="J63" s="35"/>
      <c r="K63" s="35"/>
      <c r="L63" s="35"/>
      <c r="M63" s="35"/>
      <c r="N63" s="36"/>
    </row>
    <row r="64" spans="1:14" x14ac:dyDescent="0.2">
      <c r="A64" s="34"/>
      <c r="B64" s="35"/>
      <c r="C64" s="35"/>
      <c r="D64" s="35"/>
      <c r="E64" s="35"/>
      <c r="F64" s="35"/>
      <c r="G64" s="35"/>
      <c r="H64" s="35"/>
      <c r="I64" s="35"/>
      <c r="J64" s="35"/>
      <c r="K64" s="35"/>
      <c r="L64" s="35"/>
      <c r="M64" s="35"/>
      <c r="N64" s="36"/>
    </row>
    <row r="65" spans="1:14" x14ac:dyDescent="0.2">
      <c r="A65" s="34"/>
      <c r="B65" s="35"/>
      <c r="C65" s="35"/>
      <c r="D65" s="35"/>
      <c r="E65" s="35"/>
      <c r="F65" s="35"/>
      <c r="G65" s="35"/>
      <c r="H65" s="35"/>
      <c r="I65" s="35"/>
      <c r="J65" s="35"/>
      <c r="K65" s="35"/>
      <c r="L65" s="35"/>
      <c r="M65" s="35"/>
      <c r="N65" s="36"/>
    </row>
    <row r="66" spans="1:14" x14ac:dyDescent="0.2">
      <c r="A66" s="34"/>
      <c r="B66" s="35"/>
      <c r="C66" s="35"/>
      <c r="D66" s="35"/>
      <c r="E66" s="35"/>
      <c r="F66" s="35"/>
      <c r="G66" s="35"/>
      <c r="H66" s="35"/>
      <c r="I66" s="35"/>
      <c r="J66" s="35"/>
      <c r="K66" s="35"/>
      <c r="L66" s="35"/>
      <c r="M66" s="35"/>
      <c r="N66" s="36"/>
    </row>
    <row r="67" spans="1:14" ht="16" thickBot="1" x14ac:dyDescent="0.25">
      <c r="A67" s="37"/>
      <c r="B67" s="38"/>
      <c r="C67" s="38"/>
      <c r="D67" s="38"/>
      <c r="E67" s="38"/>
      <c r="F67" s="38"/>
      <c r="G67" s="38"/>
      <c r="H67" s="38"/>
      <c r="I67" s="38"/>
      <c r="J67" s="38"/>
      <c r="K67" s="38"/>
      <c r="L67" s="38"/>
      <c r="M67" s="38"/>
      <c r="N67" s="39"/>
    </row>
    <row r="68" spans="1:14" x14ac:dyDescent="0.2">
      <c r="A68" s="1"/>
      <c r="B68" s="1"/>
      <c r="C68" s="1"/>
      <c r="D68" s="1"/>
      <c r="E68" s="1"/>
      <c r="F68" s="1"/>
      <c r="G68" s="1"/>
      <c r="H68" s="1"/>
      <c r="I68" s="1"/>
      <c r="J68" s="1"/>
      <c r="K68" s="1"/>
      <c r="L68" s="1"/>
      <c r="M68" s="1"/>
      <c r="N68" s="1"/>
    </row>
  </sheetData>
  <sheetProtection formatCells="0" formatColumns="0" formatRows="0" insertColumns="0" insertRows="0" insertHyperlinks="0" deleteColumns="0" deleteRows="0" sort="0" autoFilter="0" pivotTables="0"/>
  <mergeCells count="107">
    <mergeCell ref="A46:N46"/>
    <mergeCell ref="A47:N67"/>
    <mergeCell ref="A45:C45"/>
    <mergeCell ref="D45:F45"/>
    <mergeCell ref="G45:H45"/>
    <mergeCell ref="I45:J45"/>
    <mergeCell ref="K45:L45"/>
    <mergeCell ref="M45:N45"/>
    <mergeCell ref="A43:N43"/>
    <mergeCell ref="A44:C44"/>
    <mergeCell ref="D44:F44"/>
    <mergeCell ref="G44:H44"/>
    <mergeCell ref="I44:J44"/>
    <mergeCell ref="K44:L44"/>
    <mergeCell ref="M44:N44"/>
    <mergeCell ref="A40:C40"/>
    <mergeCell ref="J40:K40"/>
    <mergeCell ref="A41:C41"/>
    <mergeCell ref="J41:K41"/>
    <mergeCell ref="A42:C42"/>
    <mergeCell ref="J42:K42"/>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C6">
    <cfRule type="notContainsBlanks" dxfId="7" priority="6">
      <formula>LEN(TRIM(C6))&gt;0</formula>
    </cfRule>
  </conditionalFormatting>
  <conditionalFormatting sqref="C11:D16">
    <cfRule type="notContainsBlanks" dxfId="6" priority="1">
      <formula>LEN(TRIM(C11))&gt;0</formula>
    </cfRule>
  </conditionalFormatting>
  <conditionalFormatting sqref="C8:E9">
    <cfRule type="notContainsBlanks" dxfId="5" priority="5">
      <formula>LEN(TRIM(C8))&gt;0</formula>
    </cfRule>
  </conditionalFormatting>
  <conditionalFormatting sqref="G45:H45">
    <cfRule type="notContainsBlanks" dxfId="4" priority="8">
      <formula>LEN(TRIM(G45))&gt;0</formula>
    </cfRule>
  </conditionalFormatting>
  <conditionalFormatting sqref="I5:K9">
    <cfRule type="notContainsBlanks" dxfId="3" priority="4">
      <formula>LEN(TRIM(I5))&gt;0</formula>
    </cfRule>
  </conditionalFormatting>
  <conditionalFormatting sqref="L5:N7">
    <cfRule type="notContainsBlanks" dxfId="2" priority="3">
      <formula>LEN(TRIM(L5))&gt;0</formula>
    </cfRule>
  </conditionalFormatting>
  <conditionalFormatting sqref="L9:N9">
    <cfRule type="notContainsBlanks" dxfId="1" priority="2">
      <formula>LEN(TRIM(L9))&gt;0</formula>
    </cfRule>
  </conditionalFormatting>
  <conditionalFormatting sqref="M1:N1 D2:K3 N2:N3 G11:I16 A18:N18 A20:N24 A26:N30 D34:K42">
    <cfRule type="notContainsBlanks" dxfId="0" priority="7">
      <formula>LEN(TRIM(A1))&gt;0</formula>
    </cfRule>
  </conditionalFormatting>
  <dataValidations count="4">
    <dataValidation allowBlank="1" showInputMessage="1" showErrorMessage="1" prompt="Well Name Here" sqref="D2:K2" xr:uid="{AB041645-706E-42F0-B2B7-767A7EC189CC}"/>
    <dataValidation allowBlank="1" showInputMessage="1" showErrorMessage="1" prompt="UWI Here" sqref="D3:K3" xr:uid="{2D68AAB4-D460-44EF-A516-2FF8AE3FCB47}"/>
    <dataValidation allowBlank="1" showInputMessage="1" showErrorMessage="1" prompt="Insert any additional comments &amp; photos if necessary " sqref="A47:N67" xr:uid="{0FA90633-9212-4F68-96D7-617606DAD25B}"/>
    <dataValidation type="list" allowBlank="1" showInputMessage="1" showErrorMessage="1" sqref="G15:I16" xr:uid="{71AA38C8-A0FF-4C3A-BD4F-922A352F1610}">
      <formula1>"Base of Drift, Clearwater Top, Surface Casing, Core Point, Lower Wab / RMZ top, Upper McMurray, Mid McMurray / RMZ Base, Beaverhill Lake, Total Depth"</formula1>
    </dataValidation>
  </dataValidations>
  <pageMargins left="0.7" right="0.7" top="0.75" bottom="0.75" header="0.3" footer="0.3"/>
  <pageSetup scale="60" orientation="portrait"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36CBEE0A456044BDA65122A5B0F5F8" ma:contentTypeVersion="19" ma:contentTypeDescription="Create a new document." ma:contentTypeScope="" ma:versionID="5d7b9cbce9364425416f89c8d3c2b0fb">
  <xsd:schema xmlns:xsd="http://www.w3.org/2001/XMLSchema" xmlns:xs="http://www.w3.org/2001/XMLSchema" xmlns:p="http://schemas.microsoft.com/office/2006/metadata/properties" xmlns:ns2="0a16e579-8e52-462c-b9fb-90fad13862ef" xmlns:ns3="f2e3cb03-81f0-44cd-9968-695b701ef7ef" xmlns:ns4="90a9caed-1441-4e6e-970c-7f1ae8660165" targetNamespace="http://schemas.microsoft.com/office/2006/metadata/properties" ma:root="true" ma:fieldsID="18ac0bef3ad4cc5a6152d7bbfb167c93" ns2:_="" ns3:_="" ns4:_="">
    <xsd:import namespace="0a16e579-8e52-462c-b9fb-90fad13862ef"/>
    <xsd:import namespace="f2e3cb03-81f0-44cd-9968-695b701ef7ef"/>
    <xsd:import namespace="90a9caed-1441-4e6e-970c-7f1ae866016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6e579-8e52-462c-b9fb-90fad13862e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d41e768-b4dc-4e34-8859-8330c77b32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e3cb03-81f0-44cd-9968-695b701ef7e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0a9caed-1441-4e6e-970c-7f1ae866016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2b95dd81-d04f-48cd-ad67-72baf97efcb5}" ma:internalName="TaxCatchAll" ma:showField="CatchAllData" ma:web="f2e3cb03-81f0-44cd-9968-695b701ef7e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16e579-8e52-462c-b9fb-90fad13862ef">
      <Terms xmlns="http://schemas.microsoft.com/office/infopath/2007/PartnerControls"/>
    </lcf76f155ced4ddcb4097134ff3c332f>
    <TaxCatchAll xmlns="90a9caed-1441-4e6e-970c-7f1ae8660165" xsi:nil="true"/>
  </documentManagement>
</p:properties>
</file>

<file path=customXml/itemProps1.xml><?xml version="1.0" encoding="utf-8"?>
<ds:datastoreItem xmlns:ds="http://schemas.openxmlformats.org/officeDocument/2006/customXml" ds:itemID="{F42AFC61-9FBF-443D-B1EC-250DED03A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6e579-8e52-462c-b9fb-90fad13862ef"/>
    <ds:schemaRef ds:uri="f2e3cb03-81f0-44cd-9968-695b701ef7ef"/>
    <ds:schemaRef ds:uri="90a9caed-1441-4e6e-970c-7f1ae86601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21519AB-4E14-47F6-8EE1-734F9264F5A4}">
  <ds:schemaRefs>
    <ds:schemaRef ds:uri="http://schemas.microsoft.com/sharepoint/v3/contenttype/forms"/>
  </ds:schemaRefs>
</ds:datastoreItem>
</file>

<file path=customXml/itemProps3.xml><?xml version="1.0" encoding="utf-8"?>
<ds:datastoreItem xmlns:ds="http://schemas.openxmlformats.org/officeDocument/2006/customXml" ds:itemID="{282588ED-C501-480E-90CA-BF6563DD6F5F}">
  <ds:schemaRefs>
    <ds:schemaRef ds:uri="http://schemas.microsoft.com/office/2006/metadata/properties"/>
    <ds:schemaRef ds:uri="http://schemas.microsoft.com/office/infopath/2007/PartnerControls"/>
    <ds:schemaRef ds:uri="0a16e579-8e52-462c-b9fb-90fad13862ef"/>
    <ds:schemaRef ds:uri="90a9caed-1441-4e6e-970c-7f1ae8660165"/>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Mar 03</vt:lpstr>
      <vt:lpstr>Mar 04</vt:lpstr>
      <vt:lpstr>Mar 05</vt:lpstr>
      <vt:lpstr>Mar 06</vt:lpstr>
      <vt:lpstr>Mar 07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Law</dc:creator>
  <cp:lastModifiedBy>Kurtis Ball</cp:lastModifiedBy>
  <cp:lastPrinted>2025-11-08T00:56:41Z</cp:lastPrinted>
  <dcterms:created xsi:type="dcterms:W3CDTF">2025-11-07T20:35:01Z</dcterms:created>
  <dcterms:modified xsi:type="dcterms:W3CDTF">2026-03-08T13:13:47Z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0x0101007936CBEE0A456044BDA65122A5B0F5F8</vt:lpwstr>
  </property>
</Properties>
</file>