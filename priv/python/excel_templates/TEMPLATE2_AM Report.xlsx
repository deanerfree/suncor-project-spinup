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deanerfree/projects/elixir/suncor-project-spinup/priv/python/excel_templates/"/>
    </mc:Choice>
  </mc:AlternateContent>
  <xr:revisionPtr revIDLastSave="0" documentId="13_ncr:1_{3BA1E6C6-F5EE-F440-8264-B104A4524F3B}" xr6:coauthVersionLast="47" xr6:coauthVersionMax="47" xr10:uidLastSave="{00000000-0000-0000-0000-000000000000}"/>
  <bookViews>
    <workbookView xWindow="2360" yWindow="660" windowWidth="22880" windowHeight="11100" firstSheet="5" activeTab="5" xr2:uid="{26F572F5-B233-44A0-940B-1963B58B7EF0}"/>
  </bookViews>
  <sheets>
    <sheet name="Jan 18" sheetId="2" r:id="rId1"/>
    <sheet name="Jan 19" sheetId="3" r:id="rId2"/>
    <sheet name="Jan 20" sheetId="4" r:id="rId3"/>
    <sheet name="Jan 21" sheetId="5" r:id="rId4"/>
    <sheet name="Jan 22" sheetId="6" r:id="rId5"/>
    <sheet name="Date" sheetId="1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3" l="1"/>
  <c r="J44" i="2" l="1"/>
  <c r="J45" i="2"/>
  <c r="J46" i="2"/>
  <c r="J47" i="2"/>
  <c r="J41" i="2"/>
  <c r="J44" i="3"/>
  <c r="J45" i="3"/>
  <c r="J46" i="3"/>
  <c r="J47" i="3"/>
  <c r="J41" i="3"/>
  <c r="J44" i="4"/>
  <c r="J45" i="4"/>
  <c r="J46" i="4"/>
  <c r="J47" i="4"/>
  <c r="J41" i="4"/>
  <c r="J44" i="5"/>
  <c r="J45" i="5"/>
  <c r="J46" i="5"/>
  <c r="J47" i="5"/>
  <c r="J41" i="5"/>
  <c r="J44" i="6"/>
  <c r="J45" i="6"/>
  <c r="J46" i="6"/>
  <c r="J47" i="6"/>
  <c r="J41" i="6"/>
  <c r="G52" i="6" l="1"/>
  <c r="J49" i="6"/>
  <c r="I49" i="6"/>
  <c r="E49" i="6"/>
  <c r="J48" i="6"/>
  <c r="I48" i="6"/>
  <c r="E48" i="6"/>
  <c r="E47" i="6"/>
  <c r="E46" i="6"/>
  <c r="E45" i="6"/>
  <c r="E44" i="6"/>
  <c r="J43" i="6"/>
  <c r="I43" i="6"/>
  <c r="E43" i="6"/>
  <c r="J42" i="6"/>
  <c r="I42" i="6"/>
  <c r="E42" i="6"/>
  <c r="E41" i="6"/>
  <c r="J40" i="6"/>
  <c r="I40" i="6"/>
  <c r="E40" i="6"/>
  <c r="J39" i="6"/>
  <c r="I39" i="6"/>
  <c r="E39" i="6"/>
  <c r="J38" i="6"/>
  <c r="I38" i="6"/>
  <c r="E38" i="6"/>
  <c r="J37" i="6"/>
  <c r="I37" i="6"/>
  <c r="E37" i="6"/>
  <c r="J36" i="6"/>
  <c r="I36" i="6"/>
  <c r="E36" i="6"/>
  <c r="J35" i="6"/>
  <c r="I35" i="6"/>
  <c r="E35" i="6"/>
  <c r="I34" i="6"/>
  <c r="E34" i="6"/>
  <c r="J34" i="6" s="1"/>
  <c r="G52" i="5"/>
  <c r="J49" i="5"/>
  <c r="I49" i="5"/>
  <c r="E49" i="5"/>
  <c r="J48" i="5"/>
  <c r="I48" i="5"/>
  <c r="E48" i="5"/>
  <c r="E47" i="5"/>
  <c r="E46" i="5"/>
  <c r="E45" i="5"/>
  <c r="E44" i="5"/>
  <c r="J43" i="5"/>
  <c r="I43" i="5"/>
  <c r="E43" i="5"/>
  <c r="J42" i="5"/>
  <c r="I42" i="5"/>
  <c r="E42" i="5"/>
  <c r="E41" i="5"/>
  <c r="J40" i="5"/>
  <c r="I40" i="5"/>
  <c r="E40" i="5"/>
  <c r="J39" i="5"/>
  <c r="I39" i="5"/>
  <c r="E39" i="5"/>
  <c r="J38" i="5"/>
  <c r="I38" i="5"/>
  <c r="E38" i="5"/>
  <c r="J37" i="5"/>
  <c r="I37" i="5"/>
  <c r="E37" i="5"/>
  <c r="J36" i="5"/>
  <c r="I36" i="5"/>
  <c r="E36" i="5"/>
  <c r="J35" i="5"/>
  <c r="I35" i="5"/>
  <c r="E35" i="5"/>
  <c r="I34" i="5"/>
  <c r="E34" i="5"/>
  <c r="J34" i="5" s="1"/>
  <c r="G52" i="4" l="1"/>
  <c r="J49" i="4"/>
  <c r="I49" i="4"/>
  <c r="E49" i="4"/>
  <c r="J48" i="4"/>
  <c r="I48" i="4"/>
  <c r="E48" i="4"/>
  <c r="E47" i="4"/>
  <c r="E46" i="4"/>
  <c r="E45" i="4"/>
  <c r="E44" i="4"/>
  <c r="J43" i="4"/>
  <c r="I43" i="4"/>
  <c r="E43" i="4"/>
  <c r="J42" i="4"/>
  <c r="I42" i="4"/>
  <c r="E42" i="4"/>
  <c r="E41" i="4"/>
  <c r="J40" i="4"/>
  <c r="I40" i="4"/>
  <c r="E40" i="4"/>
  <c r="J39" i="4"/>
  <c r="I39" i="4"/>
  <c r="E39" i="4"/>
  <c r="J38" i="4"/>
  <c r="I38" i="4"/>
  <c r="E38" i="4"/>
  <c r="J37" i="4"/>
  <c r="I37" i="4"/>
  <c r="E37" i="4"/>
  <c r="J36" i="4"/>
  <c r="I36" i="4"/>
  <c r="E36" i="4"/>
  <c r="J35" i="4"/>
  <c r="I35" i="4"/>
  <c r="E35" i="4"/>
  <c r="J34" i="4"/>
  <c r="I34" i="4"/>
  <c r="E34" i="4"/>
  <c r="G52" i="3" l="1"/>
  <c r="J49" i="3"/>
  <c r="I49" i="3"/>
  <c r="E49" i="3"/>
  <c r="J48" i="3"/>
  <c r="I48" i="3"/>
  <c r="E48" i="3"/>
  <c r="E47" i="3"/>
  <c r="E46" i="3"/>
  <c r="E45" i="3"/>
  <c r="E44" i="3"/>
  <c r="J43" i="3"/>
  <c r="I43" i="3"/>
  <c r="E43" i="3"/>
  <c r="J42" i="3"/>
  <c r="I42" i="3"/>
  <c r="E42" i="3"/>
  <c r="E41" i="3"/>
  <c r="J40" i="3"/>
  <c r="I40" i="3"/>
  <c r="E40" i="3"/>
  <c r="J39" i="3"/>
  <c r="I39" i="3"/>
  <c r="E39" i="3"/>
  <c r="J38" i="3"/>
  <c r="I38" i="3"/>
  <c r="E38" i="3"/>
  <c r="J37" i="3"/>
  <c r="I37" i="3"/>
  <c r="E37" i="3"/>
  <c r="J36" i="3"/>
  <c r="I36" i="3"/>
  <c r="E36" i="3"/>
  <c r="J35" i="3"/>
  <c r="I35" i="3"/>
  <c r="E35" i="3"/>
  <c r="J34" i="3"/>
  <c r="I34" i="3"/>
  <c r="E34" i="3"/>
  <c r="E42" i="2"/>
  <c r="E43" i="2"/>
  <c r="E44" i="2"/>
  <c r="E45" i="2"/>
  <c r="E46" i="2"/>
  <c r="E47" i="2"/>
  <c r="E48" i="2"/>
  <c r="E49" i="2"/>
  <c r="E35" i="2"/>
  <c r="E36" i="2"/>
  <c r="E37" i="2"/>
  <c r="E38" i="2"/>
  <c r="E39" i="2"/>
  <c r="E40" i="2"/>
  <c r="E41" i="2"/>
  <c r="E34" i="2"/>
  <c r="G52" i="2" l="1"/>
  <c r="J49" i="2"/>
  <c r="I49" i="2"/>
  <c r="J48" i="2"/>
  <c r="I48" i="2"/>
  <c r="J43" i="2"/>
  <c r="I43" i="2"/>
  <c r="J42" i="2"/>
  <c r="I42" i="2"/>
  <c r="J40" i="2"/>
  <c r="I40" i="2"/>
  <c r="J39" i="2"/>
  <c r="I39" i="2"/>
  <c r="J38" i="2"/>
  <c r="I38" i="2"/>
  <c r="J37" i="2"/>
  <c r="I37" i="2"/>
  <c r="J36" i="2"/>
  <c r="I36" i="2"/>
  <c r="J35" i="2"/>
  <c r="I35" i="2"/>
  <c r="J34" i="2"/>
  <c r="I34" i="2"/>
</calcChain>
</file>

<file path=xl/sharedStrings.xml><?xml version="1.0" encoding="utf-8"?>
<sst xmlns="http://schemas.openxmlformats.org/spreadsheetml/2006/main" count="613" uniqueCount="116">
  <si>
    <t>DAILY GEOLOGICAL REPORT</t>
  </si>
  <si>
    <t>Report #</t>
  </si>
  <si>
    <t>WELL CONTACTS</t>
  </si>
  <si>
    <t>Operator</t>
  </si>
  <si>
    <t>Suncor Energy Inc.</t>
  </si>
  <si>
    <t>Office Geologist</t>
  </si>
  <si>
    <t>Wellsite Geologists</t>
  </si>
  <si>
    <t>Date</t>
  </si>
  <si>
    <t>Wellsite Geology Contractor</t>
  </si>
  <si>
    <t>Drilling Rig</t>
  </si>
  <si>
    <t>Drilling Supervisors</t>
  </si>
  <si>
    <t>Days</t>
  </si>
  <si>
    <t>Nights</t>
  </si>
  <si>
    <t>License No.</t>
  </si>
  <si>
    <t>AFE No.</t>
  </si>
  <si>
    <t>Spud Date</t>
  </si>
  <si>
    <t>KB</t>
  </si>
  <si>
    <t>GL</t>
  </si>
  <si>
    <t>KB  - GL</t>
  </si>
  <si>
    <t>24 Hr. Progress</t>
  </si>
  <si>
    <t>Drill time (hrs)</t>
  </si>
  <si>
    <t>Avg ROP (m/hr)</t>
  </si>
  <si>
    <t>Current Formation</t>
  </si>
  <si>
    <t>Target Formation</t>
  </si>
  <si>
    <t>Surface Hole</t>
  </si>
  <si>
    <t>Surface Casing</t>
  </si>
  <si>
    <t>Intermediate Hole</t>
  </si>
  <si>
    <t>Intermediate Casing</t>
  </si>
  <si>
    <t>Main Hole</t>
  </si>
  <si>
    <t>HOLE GEOMETRY</t>
  </si>
  <si>
    <t>SIZE</t>
  </si>
  <si>
    <t>DEPTH</t>
  </si>
  <si>
    <t>MUD</t>
  </si>
  <si>
    <t>WELL DETAILS</t>
  </si>
  <si>
    <t>24HR OPERATIONS SUMMARY - 06:00 TO 06:00 HRS.</t>
  </si>
  <si>
    <t>24HR OPERATIONS FORECAST</t>
  </si>
  <si>
    <t>FORMATION TOPS AND MARKERS</t>
  </si>
  <si>
    <t>Core Point</t>
  </si>
  <si>
    <t>Total Depth</t>
  </si>
  <si>
    <t>Prognosed</t>
  </si>
  <si>
    <t>TVD (m)</t>
  </si>
  <si>
    <t>MD (m)</t>
  </si>
  <si>
    <t>Cutting Samples / Lithology</t>
  </si>
  <si>
    <t>TVD  (M)</t>
  </si>
  <si>
    <t>Prog - Sample (m)</t>
  </si>
  <si>
    <t>Formation Top / Marker</t>
  </si>
  <si>
    <t>OVERALL CORING DETAILS</t>
  </si>
  <si>
    <t>Total Core Cut (m)</t>
  </si>
  <si>
    <t>Total Core Recovered (m)</t>
  </si>
  <si>
    <t>Total Recovery (%)</t>
  </si>
  <si>
    <t># of Core Runs</t>
  </si>
  <si>
    <t>Total Hours</t>
  </si>
  <si>
    <t>ADDITIONAL REMARKS</t>
  </si>
  <si>
    <t>RIG PHONE #</t>
  </si>
  <si>
    <t>Days from spud</t>
  </si>
  <si>
    <t xml:space="preserve">CURRENT OPERATIONS @ 06:00 HRS. </t>
  </si>
  <si>
    <t>MUD RESISTIVITY CHECKS</t>
  </si>
  <si>
    <t>Temp (°C)</t>
  </si>
  <si>
    <t>Coring Start Depth (m)</t>
  </si>
  <si>
    <t>Res (Ω)</t>
  </si>
  <si>
    <t>PHONE NUMBERS</t>
  </si>
  <si>
    <t>Depth @ 06:00 Hrs. (m)</t>
  </si>
  <si>
    <t>Sample
Depth (m)</t>
  </si>
  <si>
    <t>TVDASL (m)</t>
  </si>
  <si>
    <t>Chinook Consulting Services</t>
  </si>
  <si>
    <t>Nicole Boulton</t>
  </si>
  <si>
    <t>Bob Qin</t>
  </si>
  <si>
    <t>Craig Hayward</t>
  </si>
  <si>
    <t>Clearwater</t>
  </si>
  <si>
    <t>McMurray</t>
  </si>
  <si>
    <t>BGWP</t>
  </si>
  <si>
    <t>SCU</t>
  </si>
  <si>
    <t>780-215-1588</t>
  </si>
  <si>
    <t>403-461-3232</t>
  </si>
  <si>
    <t>587-580-8512</t>
  </si>
  <si>
    <t>Andres Altosaar</t>
  </si>
  <si>
    <t>403-296-3451</t>
  </si>
  <si>
    <t>Gel</t>
  </si>
  <si>
    <t>Polymer</t>
  </si>
  <si>
    <t>Suncor LS7 11-19-74-12W4</t>
  </si>
  <si>
    <t>100/11-19-074-12W4/00</t>
  </si>
  <si>
    <t>Robert Sterry</t>
  </si>
  <si>
    <t>0521625</t>
  </si>
  <si>
    <t>1/18/2026</t>
  </si>
  <si>
    <t>Beaverhill Lake</t>
  </si>
  <si>
    <t>Slave Point</t>
  </si>
  <si>
    <t>Fort Vermillion</t>
  </si>
  <si>
    <t>Watt Mountain</t>
  </si>
  <si>
    <t>Prairie Evaporite</t>
  </si>
  <si>
    <t>Shell Lake Mbr</t>
  </si>
  <si>
    <t>Upper Keg River</t>
  </si>
  <si>
    <t>Contact Rapids</t>
  </si>
  <si>
    <t xml:space="preserve">Ground too soft, waiting on rig mats to arrive, trucks arrive at site and continue moving equipment to the new LS7 location, logistics truck unexpectedly spun out and jack knifed the road on the OCR, all units stuck behind waiting for truck to be pulled out of the way. Wait and then to move equipment, install rig mats, move equipment and shacks into position. Wait for daylight to continue move the rig on Sunday after the safety meetings at 7:30am each morning. </t>
  </si>
  <si>
    <t xml:space="preserve">Tentatively spud LS7 on Monday night or Tuesday.   
</t>
  </si>
  <si>
    <t>Wait for daylight to continue move the rig on Sunday after the safety meetings at 7:30am each morning. Continue rig move from LS8 to LS7.</t>
  </si>
  <si>
    <t>N/A</t>
  </si>
  <si>
    <t>Preparing to rig move</t>
  </si>
  <si>
    <t>PD 144</t>
  </si>
  <si>
    <t>1/19/2026</t>
  </si>
  <si>
    <t>Rigging up</t>
  </si>
  <si>
    <t>Wait for daylight to start moving equipment or shacks. Start laying down rig mats, move shacks into position, place equipment and rig it in. Place/setup equipment and rig. Rig up.</t>
  </si>
  <si>
    <t>Continue to rig up. Spud well. Drill surface hole.</t>
  </si>
  <si>
    <t xml:space="preserve">
</t>
  </si>
  <si>
    <t>1/20/2026</t>
  </si>
  <si>
    <t>1/21/2026</t>
  </si>
  <si>
    <t>1/22/2026</t>
  </si>
  <si>
    <t>SUENTQ00166572</t>
  </si>
  <si>
    <t>Continue to drill surface hole to surface casing point. Condition mud &amp; circulate. POOH. Laydown 311mm BHA. Run surface casing. Cement casing. WOC.</t>
  </si>
  <si>
    <t xml:space="preserve">Continued to rig up/ level off walkways/ stairways, and equipment, spot buildings, fill in holes on mats, rig up flare and degasser, build volume, and wait on water. Make sure the site is cleaned up, all debris removed, everything is rigged in, and ready to spud. Pick up 311mm BHA, Pre-spud hazard hunt and safety meeting.  Spud well, drill 311mm surface hole to 150m. </t>
  </si>
  <si>
    <t>Drilling</t>
  </si>
  <si>
    <t>Continue to run surface casing, rig in cementers, cement casing, w/o cement.</t>
  </si>
  <si>
    <t>Running casing</t>
  </si>
  <si>
    <t>Drill 311mm surface hole from 150mKB to 388mKB. Continue to drill surface hole to surface casing point 427mKB. Condition mud &amp; circulate. TOOH, lay down BHA,  run surface casing, rig in cementers, cement casing, w/o cement.</t>
  </si>
  <si>
    <t>RIH</t>
  </si>
  <si>
    <t>Continued to run casing, condition mud and circulate, rig in cementers, pump cement, plug down, bump plug, rig out cementers,w/o cement, cut casing, and weld on the bowl, nipple up BOPs. Pressure/ function test, M/U &amp; P/U BHA, RIH.</t>
  </si>
  <si>
    <t xml:space="preserve">Continue to RIH, tag cement, drill out cement and plug, continue to drill intermediate section to ICP. Condition mud and circulate. Wiper trip.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</si>
</sst>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6"/>
      <color theme="0"/>
      <name val="Aptos Narrow"/>
      <family val="2"/>
      <scheme val="minor"/>
    </font>
    <font>
      <b/>
      <sz val="18"/>
      <color theme="1"/>
      <name val="Aptos Narrow"/>
      <family val="2"/>
      <scheme val="minor"/>
    </font>
    <font>
      <b/>
      <sz val="16"/>
      <color theme="1"/>
      <name val="Aptos Narrow"/>
      <family val="2"/>
      <scheme val="minor"/>
    </font>
    <font>
      <b/>
      <sz val="12"/>
      <color theme="1"/>
      <name val="Aptos Narrow"/>
      <family val="2"/>
      <scheme val="minor"/>
    </font>
    <font>
      <b/>
      <sz val="14"/>
      <color theme="1"/>
      <name val="Aptos Narrow"/>
      <family val="2"/>
      <scheme val="minor"/>
    </font>
    <font>
      <sz val="11"/>
      <name val="Aptos Narrow"/>
      <family val="2"/>
      <scheme val="minor"/>
    </font>
  </fonts>
  <fills count="4">
    <fill>
      <patternFill patternType="none"/>
    </fill>
    <fill>
      <patternFill patternType="gray125"/>
    </fill>
    <fill>
      <patternFill patternType="solid">
        <fgColor theme="0" tint="-0.499984740745262"/>
        <bgColor indexed="64"/>
      </patternFill>
    </fill>
    <fill>
      <patternFill patternType="solid">
        <fgColor rgb="FFFFFFCC"/>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43">
    <xf numFmtId="0" fontId="0" fillId="0" borderId="0" xfId="0"/>
    <xf numFmtId="0" fontId="0" fillId="0" borderId="0" xfId="0" applyAlignment="1">
      <alignment vertical="center"/>
    </xf>
    <xf numFmtId="0" fontId="2" fillId="0" borderId="1" xfId="0" applyFont="1" applyBorder="1" applyAlignment="1">
      <alignment horizontal="right"/>
    </xf>
    <xf numFmtId="0" fontId="2" fillId="0" borderId="1" xfId="0" applyFont="1" applyBorder="1" applyAlignment="1">
      <alignment horizontal="center"/>
    </xf>
    <xf numFmtId="0" fontId="2" fillId="0" borderId="2" xfId="0" applyFont="1" applyBorder="1" applyAlignment="1">
      <alignment horizontal="right" vertical="center"/>
    </xf>
    <xf numFmtId="0" fontId="2" fillId="0" borderId="6" xfId="0" applyFont="1" applyBorder="1" applyAlignment="1">
      <alignment horizontal="center"/>
    </xf>
    <xf numFmtId="0" fontId="2" fillId="0" borderId="1" xfId="0" applyFont="1" applyBorder="1" applyAlignment="1">
      <alignment horizontal="right" vertical="center"/>
    </xf>
    <xf numFmtId="0" fontId="0" fillId="0" borderId="1" xfId="0" applyBorder="1" applyProtection="1">
      <protection locked="0"/>
    </xf>
    <xf numFmtId="0" fontId="0" fillId="0" borderId="36" xfId="0" applyBorder="1" applyProtection="1">
      <protection locked="0"/>
    </xf>
    <xf numFmtId="0" fontId="0" fillId="0" borderId="6" xfId="0" applyBorder="1" applyAlignment="1" applyProtection="1">
      <alignment horizontal="center"/>
      <protection locked="0"/>
    </xf>
    <xf numFmtId="0" fontId="0" fillId="0" borderId="5" xfId="0" applyBorder="1" applyProtection="1">
      <protection locked="0"/>
    </xf>
    <xf numFmtId="0" fontId="0" fillId="0" borderId="6" xfId="0" applyBorder="1" applyProtection="1">
      <protection locked="0"/>
    </xf>
    <xf numFmtId="0" fontId="0" fillId="0" borderId="35" xfId="0" applyBorder="1" applyProtection="1">
      <protection locked="0"/>
    </xf>
    <xf numFmtId="0" fontId="0" fillId="0" borderId="43" xfId="0" applyBorder="1" applyProtection="1">
      <protection locked="0"/>
    </xf>
    <xf numFmtId="2" fontId="0" fillId="3" borderId="1" xfId="0" applyNumberFormat="1" applyFill="1" applyBorder="1" applyProtection="1">
      <protection locked="0"/>
    </xf>
    <xf numFmtId="2" fontId="0" fillId="0" borderId="1" xfId="0" applyNumberFormat="1" applyBorder="1"/>
    <xf numFmtId="2" fontId="0" fillId="0" borderId="1" xfId="0" applyNumberFormat="1" applyBorder="1" applyProtection="1">
      <protection locked="0"/>
    </xf>
    <xf numFmtId="2" fontId="0" fillId="3" borderId="36" xfId="0" applyNumberFormat="1" applyFill="1" applyBorder="1" applyProtection="1">
      <protection locked="0"/>
    </xf>
    <xf numFmtId="2" fontId="0" fillId="0" borderId="36" xfId="0" applyNumberFormat="1" applyBorder="1"/>
    <xf numFmtId="2" fontId="0" fillId="0" borderId="36" xfId="0" applyNumberFormat="1" applyBorder="1" applyProtection="1">
      <protection locked="0"/>
    </xf>
    <xf numFmtId="2" fontId="0" fillId="0" borderId="1" xfId="0" applyNumberFormat="1" applyBorder="1" applyAlignment="1" applyProtection="1">
      <alignment horizontal="center"/>
      <protection locked="0"/>
    </xf>
    <xf numFmtId="0" fontId="8" fillId="3" borderId="6" xfId="0" applyFont="1" applyFill="1" applyBorder="1" applyAlignment="1" applyProtection="1">
      <alignment horizontal="center"/>
      <protection locked="0"/>
    </xf>
    <xf numFmtId="0" fontId="8" fillId="3" borderId="19" xfId="0" applyFont="1" applyFill="1" applyBorder="1" applyAlignment="1" applyProtection="1">
      <alignment horizontal="center"/>
      <protection locked="0"/>
    </xf>
    <xf numFmtId="2" fontId="0" fillId="3" borderId="18" xfId="0" applyNumberFormat="1" applyFill="1" applyBorder="1" applyProtection="1">
      <protection locked="0"/>
    </xf>
    <xf numFmtId="2" fontId="0" fillId="0" borderId="18" xfId="0" applyNumberFormat="1" applyBorder="1" applyProtection="1">
      <protection locked="0"/>
    </xf>
    <xf numFmtId="0" fontId="0" fillId="0" borderId="17" xfId="0" applyBorder="1" applyProtection="1">
      <protection locked="0"/>
    </xf>
    <xf numFmtId="0" fontId="0" fillId="0" borderId="18" xfId="0" applyBorder="1" applyProtection="1">
      <protection locked="0"/>
    </xf>
    <xf numFmtId="0" fontId="0" fillId="0" borderId="19" xfId="0" applyBorder="1" applyProtection="1">
      <protection locked="0"/>
    </xf>
    <xf numFmtId="2" fontId="0" fillId="0" borderId="18" xfId="0" applyNumberFormat="1" applyBorder="1"/>
    <xf numFmtId="0" fontId="0" fillId="0" borderId="29" xfId="0" applyBorder="1" applyAlignment="1">
      <alignment horizontal="center"/>
    </xf>
    <xf numFmtId="0" fontId="0" fillId="0" borderId="24" xfId="0" applyBorder="1" applyAlignment="1">
      <alignment horizontal="center"/>
    </xf>
    <xf numFmtId="0" fontId="0" fillId="0" borderId="30" xfId="0" applyBorder="1" applyAlignment="1">
      <alignment horizontal="center"/>
    </xf>
    <xf numFmtId="2" fontId="0" fillId="0" borderId="23" xfId="0" applyNumberFormat="1" applyBorder="1" applyAlignment="1">
      <alignment horizontal="center"/>
    </xf>
    <xf numFmtId="2" fontId="0" fillId="0" borderId="25" xfId="0" applyNumberForma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164" fontId="7" fillId="3" borderId="7" xfId="0" quotePrefix="1" applyNumberFormat="1" applyFont="1" applyFill="1" applyBorder="1" applyAlignment="1" applyProtection="1">
      <alignment horizontal="center"/>
      <protection locked="0"/>
    </xf>
    <xf numFmtId="164" fontId="7" fillId="3" borderId="8" xfId="0" applyNumberFormat="1" applyFont="1" applyFill="1" applyBorder="1" applyAlignment="1" applyProtection="1">
      <alignment horizontal="center"/>
      <protection locked="0"/>
    </xf>
    <xf numFmtId="0" fontId="5" fillId="3" borderId="5" xfId="0" applyFont="1" applyFill="1" applyBorder="1" applyAlignment="1" applyProtection="1">
      <alignment horizontal="center"/>
      <protection locked="0"/>
    </xf>
    <xf numFmtId="0" fontId="5" fillId="3" borderId="1" xfId="0" applyFont="1" applyFill="1" applyBorder="1" applyAlignment="1" applyProtection="1">
      <alignment horizontal="center"/>
      <protection locked="0"/>
    </xf>
    <xf numFmtId="0" fontId="5" fillId="3" borderId="6" xfId="0" applyFont="1" applyFill="1" applyBorder="1" applyAlignment="1" applyProtection="1">
      <alignment horizontal="center"/>
      <protection locked="0"/>
    </xf>
    <xf numFmtId="0" fontId="2" fillId="0" borderId="5" xfId="0" applyFont="1" applyBorder="1" applyAlignment="1">
      <alignment horizontal="right" vertical="center"/>
    </xf>
    <xf numFmtId="0" fontId="0" fillId="0" borderId="1" xfId="0" applyBorder="1" applyAlignment="1">
      <alignment horizontal="right" vertical="center"/>
    </xf>
    <xf numFmtId="0" fontId="6" fillId="3" borderId="17" xfId="0" applyFont="1" applyFill="1" applyBorder="1" applyAlignment="1" applyProtection="1">
      <alignment horizontal="center"/>
      <protection locked="0"/>
    </xf>
    <xf numFmtId="0" fontId="6" fillId="3" borderId="18" xfId="0" applyFont="1" applyFill="1" applyBorder="1" applyAlignment="1" applyProtection="1">
      <alignment horizontal="center"/>
      <protection locked="0"/>
    </xf>
    <xf numFmtId="0" fontId="6" fillId="3" borderId="19" xfId="0" applyFont="1" applyFill="1" applyBorder="1" applyAlignment="1" applyProtection="1">
      <alignment horizontal="center"/>
      <protection locked="0"/>
    </xf>
    <xf numFmtId="0" fontId="2" fillId="0" borderId="17" xfId="0" applyFont="1" applyBorder="1" applyAlignment="1">
      <alignment horizontal="right" vertical="center"/>
    </xf>
    <xf numFmtId="0" fontId="2" fillId="0" borderId="18" xfId="0" applyFont="1" applyBorder="1" applyAlignment="1">
      <alignment horizontal="right" vertical="center"/>
    </xf>
    <xf numFmtId="0" fontId="0" fillId="0" borderId="29" xfId="0" applyBorder="1" applyAlignment="1">
      <alignment horizontal="right" wrapText="1"/>
    </xf>
    <xf numFmtId="0" fontId="0" fillId="0" borderId="24" xfId="0" applyBorder="1" applyAlignment="1">
      <alignment horizontal="right" wrapText="1"/>
    </xf>
    <xf numFmtId="0" fontId="0" fillId="0" borderId="30" xfId="0" applyBorder="1" applyAlignment="1">
      <alignment horizontal="right" wrapText="1"/>
    </xf>
    <xf numFmtId="0" fontId="2" fillId="0" borderId="5" xfId="0" applyFont="1" applyBorder="1" applyAlignment="1">
      <alignment horizontal="right" wrapText="1"/>
    </xf>
    <xf numFmtId="0" fontId="2" fillId="0" borderId="1" xfId="0" applyFont="1" applyBorder="1" applyAlignment="1">
      <alignment horizontal="right" wrapText="1"/>
    </xf>
    <xf numFmtId="0" fontId="0" fillId="3" borderId="1" xfId="0" applyFill="1" applyBorder="1" applyAlignment="1" applyProtection="1">
      <alignment horizontal="center" vertical="center"/>
      <protection locked="0"/>
    </xf>
    <xf numFmtId="0" fontId="2" fillId="0" borderId="1" xfId="0" applyFont="1" applyBorder="1" applyAlignment="1">
      <alignment horizontal="center" vertical="center"/>
    </xf>
    <xf numFmtId="0" fontId="0" fillId="3" borderId="1" xfId="0" applyFill="1" applyBorder="1" applyAlignment="1" applyProtection="1">
      <alignment horizontal="center"/>
      <protection locked="0"/>
    </xf>
    <xf numFmtId="0" fontId="0" fillId="3" borderId="1" xfId="0" quotePrefix="1" applyFill="1" applyBorder="1" applyAlignment="1" applyProtection="1">
      <alignment horizontal="center"/>
      <protection locked="0"/>
    </xf>
    <xf numFmtId="0" fontId="0" fillId="3" borderId="6" xfId="0" applyFill="1" applyBorder="1" applyAlignment="1" applyProtection="1">
      <alignment horizontal="center"/>
      <protection locked="0"/>
    </xf>
    <xf numFmtId="0" fontId="1" fillId="2" borderId="42" xfId="0" applyFont="1" applyFill="1" applyBorder="1" applyAlignment="1">
      <alignment horizontal="center"/>
    </xf>
    <xf numFmtId="0" fontId="1" fillId="2" borderId="34" xfId="0" applyFont="1" applyFill="1" applyBorder="1" applyAlignment="1">
      <alignment horizontal="center"/>
    </xf>
    <xf numFmtId="0" fontId="1" fillId="2" borderId="8" xfId="0" applyFont="1" applyFill="1" applyBorder="1" applyAlignment="1">
      <alignment horizontal="center"/>
    </xf>
    <xf numFmtId="0" fontId="2" fillId="0" borderId="5" xfId="0" applyFont="1" applyBorder="1" applyAlignment="1">
      <alignment horizontal="right"/>
    </xf>
    <xf numFmtId="0" fontId="2" fillId="0" borderId="1" xfId="0" applyFont="1" applyBorder="1" applyAlignment="1">
      <alignment horizontal="right"/>
    </xf>
    <xf numFmtId="0" fontId="0" fillId="0" borderId="1" xfId="0" applyBorder="1" applyAlignment="1" applyProtection="1">
      <alignment horizontal="center"/>
      <protection locked="0"/>
    </xf>
    <xf numFmtId="0" fontId="2" fillId="0" borderId="1" xfId="0" applyFont="1" applyBorder="1" applyAlignment="1">
      <alignment horizontal="center"/>
    </xf>
    <xf numFmtId="0" fontId="1" fillId="2" borderId="12" xfId="0" applyFont="1" applyFill="1" applyBorder="1" applyAlignment="1">
      <alignment horizontal="center"/>
    </xf>
    <xf numFmtId="0" fontId="1" fillId="2" borderId="0" xfId="0" applyFont="1" applyFill="1" applyAlignment="1">
      <alignment horizontal="center"/>
    </xf>
    <xf numFmtId="0" fontId="1" fillId="2" borderId="13" xfId="0" applyFont="1" applyFill="1" applyBorder="1" applyAlignment="1">
      <alignment horizont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6" xfId="0" applyFont="1" applyFill="1" applyBorder="1" applyAlignment="1">
      <alignment horizontal="center" vertical="center"/>
    </xf>
    <xf numFmtId="0" fontId="9" fillId="3" borderId="1" xfId="0" applyFont="1" applyFill="1" applyBorder="1" applyAlignment="1" applyProtection="1">
      <alignment horizontal="center"/>
      <protection locked="0"/>
    </xf>
    <xf numFmtId="0" fontId="0" fillId="3" borderId="6" xfId="0" applyFill="1" applyBorder="1" applyAlignment="1" applyProtection="1">
      <alignment horizontal="center" vertical="center"/>
      <protection locked="0"/>
    </xf>
    <xf numFmtId="2" fontId="0" fillId="3" borderId="1" xfId="0" applyNumberFormat="1" applyFill="1" applyBorder="1" applyAlignment="1" applyProtection="1">
      <alignment horizontal="center"/>
      <protection locked="0"/>
    </xf>
    <xf numFmtId="164" fontId="0" fillId="3" borderId="1" xfId="0" quotePrefix="1" applyNumberFormat="1" applyFill="1" applyBorder="1" applyAlignment="1" applyProtection="1">
      <alignment horizontal="center"/>
      <protection locked="0"/>
    </xf>
    <xf numFmtId="164" fontId="0" fillId="3" borderId="1" xfId="0" applyNumberFormat="1" applyFill="1" applyBorder="1" applyAlignment="1" applyProtection="1">
      <alignment horizontal="center"/>
      <protection locked="0"/>
    </xf>
    <xf numFmtId="0" fontId="0" fillId="0" borderId="1" xfId="0" applyBorder="1" applyAlignment="1">
      <alignment horizontal="center"/>
    </xf>
    <xf numFmtId="0" fontId="2" fillId="0" borderId="5" xfId="0" applyFont="1" applyBorder="1" applyAlignment="1">
      <alignment horizontal="center" vertic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2" fontId="0" fillId="0" borderId="1" xfId="0" applyNumberFormat="1" applyBorder="1" applyAlignment="1">
      <alignment horizontal="center"/>
    </xf>
    <xf numFmtId="0" fontId="2" fillId="0" borderId="45" xfId="0" applyFont="1" applyBorder="1" applyAlignment="1">
      <alignment horizontal="center" vertical="center" wrapText="1"/>
    </xf>
    <xf numFmtId="0" fontId="2" fillId="0" borderId="44" xfId="0" applyFont="1" applyBorder="1" applyAlignment="1">
      <alignment horizontal="center" vertical="center"/>
    </xf>
    <xf numFmtId="0" fontId="2" fillId="0" borderId="46" xfId="0" applyFont="1" applyBorder="1" applyAlignment="1">
      <alignment horizontal="center" vertical="center"/>
    </xf>
    <xf numFmtId="0" fontId="2" fillId="0" borderId="32" xfId="0" applyFont="1" applyBorder="1" applyAlignment="1">
      <alignment horizontal="center" vertical="center"/>
    </xf>
    <xf numFmtId="0" fontId="2" fillId="0" borderId="47" xfId="0" applyFont="1" applyBorder="1" applyAlignment="1">
      <alignment horizontal="center" vertical="center"/>
    </xf>
    <xf numFmtId="0" fontId="2" fillId="0" borderId="33" xfId="0" applyFont="1" applyBorder="1" applyAlignment="1">
      <alignment horizontal="center" vertical="center"/>
    </xf>
    <xf numFmtId="0" fontId="2" fillId="0" borderId="23" xfId="0" applyFont="1" applyBorder="1" applyAlignment="1">
      <alignment horizontal="center"/>
    </xf>
    <xf numFmtId="0" fontId="2" fillId="0" borderId="25" xfId="0" applyFont="1" applyBorder="1" applyAlignment="1">
      <alignment horizontal="center"/>
    </xf>
    <xf numFmtId="0" fontId="0" fillId="3" borderId="20" xfId="0" applyFill="1" applyBorder="1" applyAlignment="1" applyProtection="1">
      <alignment horizontal="center" wrapText="1"/>
      <protection locked="0"/>
    </xf>
    <xf numFmtId="0" fontId="0" fillId="3" borderId="21" xfId="0" applyFill="1" applyBorder="1" applyAlignment="1" applyProtection="1">
      <alignment horizontal="center" wrapText="1"/>
      <protection locked="0"/>
    </xf>
    <xf numFmtId="0" fontId="0" fillId="3" borderId="22" xfId="0" applyFill="1" applyBorder="1" applyAlignment="1" applyProtection="1">
      <alignment horizontal="center" wrapText="1"/>
      <protection locked="0"/>
    </xf>
    <xf numFmtId="0" fontId="1" fillId="2" borderId="20" xfId="0" applyFont="1" applyFill="1" applyBorder="1" applyAlignment="1">
      <alignment horizontal="center"/>
    </xf>
    <xf numFmtId="0" fontId="1" fillId="2" borderId="21" xfId="0" applyFont="1" applyFill="1" applyBorder="1" applyAlignment="1">
      <alignment horizontal="center"/>
    </xf>
    <xf numFmtId="0" fontId="1" fillId="2" borderId="22" xfId="0" applyFont="1" applyFill="1" applyBorder="1" applyAlignment="1">
      <alignment horizontal="center"/>
    </xf>
    <xf numFmtId="0" fontId="0" fillId="3" borderId="9" xfId="0" applyFill="1" applyBorder="1" applyAlignment="1" applyProtection="1">
      <alignment horizontal="center" vertical="center" wrapText="1"/>
      <protection locked="0"/>
    </xf>
    <xf numFmtId="0" fontId="0" fillId="3" borderId="10" xfId="0" applyFill="1" applyBorder="1" applyAlignment="1" applyProtection="1">
      <alignment horizontal="center" vertical="center" wrapText="1"/>
      <protection locked="0"/>
    </xf>
    <xf numFmtId="0" fontId="0" fillId="3" borderId="11" xfId="0" applyFill="1" applyBorder="1" applyAlignment="1" applyProtection="1">
      <alignment horizontal="center" vertical="center" wrapText="1"/>
      <protection locked="0"/>
    </xf>
    <xf numFmtId="0" fontId="0" fillId="3" borderId="12" xfId="0" applyFill="1" applyBorder="1" applyAlignment="1" applyProtection="1">
      <alignment horizontal="center" vertical="center" wrapText="1"/>
      <protection locked="0"/>
    </xf>
    <xf numFmtId="0" fontId="0" fillId="3" borderId="0" xfId="0" applyFill="1" applyAlignment="1" applyProtection="1">
      <alignment horizontal="center" vertical="center" wrapText="1"/>
      <protection locked="0"/>
    </xf>
    <xf numFmtId="0" fontId="0" fillId="3" borderId="13" xfId="0" applyFill="1" applyBorder="1" applyAlignment="1" applyProtection="1">
      <alignment horizontal="center" vertical="center" wrapText="1"/>
      <protection locked="0"/>
    </xf>
    <xf numFmtId="0" fontId="0" fillId="3" borderId="14" xfId="0" applyFill="1" applyBorder="1" applyAlignment="1" applyProtection="1">
      <alignment horizontal="center" vertical="center" wrapText="1"/>
      <protection locked="0"/>
    </xf>
    <xf numFmtId="0" fontId="0" fillId="3" borderId="15" xfId="0" applyFill="1" applyBorder="1" applyAlignment="1" applyProtection="1">
      <alignment horizontal="center" vertical="center" wrapText="1"/>
      <protection locked="0"/>
    </xf>
    <xf numFmtId="0" fontId="0" fillId="3" borderId="16" xfId="0" applyFill="1" applyBorder="1" applyAlignment="1" applyProtection="1">
      <alignment horizontal="center" vertical="center" wrapText="1"/>
      <protection locked="0"/>
    </xf>
    <xf numFmtId="0" fontId="0" fillId="0" borderId="29" xfId="0" applyBorder="1" applyAlignment="1">
      <alignment horizontal="right"/>
    </xf>
    <xf numFmtId="0" fontId="0" fillId="0" borderId="24" xfId="0" applyBorder="1" applyAlignment="1">
      <alignment horizontal="right"/>
    </xf>
    <xf numFmtId="0" fontId="0" fillId="0" borderId="30" xfId="0" applyBorder="1" applyAlignment="1">
      <alignment horizontal="right"/>
    </xf>
    <xf numFmtId="0" fontId="2" fillId="0" borderId="29" xfId="0" applyFont="1" applyBorder="1" applyAlignment="1">
      <alignment horizontal="right"/>
    </xf>
    <xf numFmtId="0" fontId="2" fillId="0" borderId="24" xfId="0" applyFont="1" applyBorder="1" applyAlignment="1">
      <alignment horizontal="right"/>
    </xf>
    <xf numFmtId="0" fontId="2" fillId="0" borderId="30" xfId="0" applyFont="1" applyBorder="1" applyAlignment="1">
      <alignment horizontal="right"/>
    </xf>
    <xf numFmtId="0" fontId="2" fillId="0" borderId="12" xfId="0" applyFont="1" applyBorder="1" applyAlignment="1">
      <alignment horizontal="center" vertical="center"/>
    </xf>
    <xf numFmtId="0" fontId="2" fillId="0" borderId="0" xfId="0" applyFont="1" applyAlignment="1">
      <alignment horizontal="center" vertical="center"/>
    </xf>
    <xf numFmtId="0" fontId="2" fillId="0" borderId="31"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32" xfId="0" applyFont="1" applyBorder="1" applyAlignment="1">
      <alignment horizontal="center"/>
    </xf>
    <xf numFmtId="0" fontId="2" fillId="0" borderId="7" xfId="0" applyFont="1" applyBorder="1" applyAlignment="1">
      <alignment horizontal="center"/>
    </xf>
    <xf numFmtId="0" fontId="2" fillId="0" borderId="34" xfId="0" applyFont="1" applyBorder="1" applyAlignment="1">
      <alignment horizontal="center"/>
    </xf>
    <xf numFmtId="0" fontId="2" fillId="0" borderId="8" xfId="0" applyFont="1" applyBorder="1" applyAlignment="1">
      <alignment horizontal="center"/>
    </xf>
    <xf numFmtId="0" fontId="0" fillId="0" borderId="12" xfId="0" applyBorder="1" applyAlignment="1" applyProtection="1">
      <alignment horizontal="center" vertical="top" wrapText="1"/>
      <protection locked="0"/>
    </xf>
    <xf numFmtId="0" fontId="0" fillId="0" borderId="0" xfId="0" applyAlignment="1" applyProtection="1">
      <alignment horizontal="center" vertical="top" wrapText="1"/>
      <protection locked="0"/>
    </xf>
    <xf numFmtId="0" fontId="0" fillId="0" borderId="13" xfId="0" applyBorder="1" applyAlignment="1" applyProtection="1">
      <alignment horizontal="center" vertical="top" wrapText="1"/>
      <protection locked="0"/>
    </xf>
    <xf numFmtId="0" fontId="0" fillId="0" borderId="14" xfId="0" applyBorder="1" applyAlignment="1" applyProtection="1">
      <alignment horizontal="center" vertical="top" wrapText="1"/>
      <protection locked="0"/>
    </xf>
    <xf numFmtId="0" fontId="0" fillId="0" borderId="15" xfId="0" applyBorder="1" applyAlignment="1" applyProtection="1">
      <alignment horizontal="center" vertical="top" wrapText="1"/>
      <protection locked="0"/>
    </xf>
    <xf numFmtId="0" fontId="0" fillId="0" borderId="16" xfId="0" applyBorder="1" applyAlignment="1" applyProtection="1">
      <alignment horizontal="center" vertical="top" wrapText="1"/>
      <protection locked="0"/>
    </xf>
    <xf numFmtId="2" fontId="0" fillId="0" borderId="5" xfId="0" applyNumberFormat="1" applyBorder="1" applyAlignment="1" applyProtection="1">
      <alignment horizontal="center"/>
      <protection locked="0"/>
    </xf>
    <xf numFmtId="2" fontId="0" fillId="0" borderId="1" xfId="0" applyNumberFormat="1" applyBorder="1" applyAlignment="1" applyProtection="1">
      <alignment horizontal="center"/>
      <protection locked="0"/>
    </xf>
    <xf numFmtId="10" fontId="0" fillId="0" borderId="1" xfId="0" applyNumberFormat="1" applyBorder="1" applyAlignment="1">
      <alignment horizontal="center"/>
    </xf>
    <xf numFmtId="0" fontId="0" fillId="0" borderId="6" xfId="0" applyBorder="1" applyAlignment="1" applyProtection="1">
      <alignment horizontal="center"/>
      <protection locked="0"/>
    </xf>
    <xf numFmtId="0" fontId="0" fillId="0" borderId="39" xfId="0" applyBorder="1" applyAlignment="1">
      <alignment horizontal="right"/>
    </xf>
    <xf numFmtId="0" fontId="0" fillId="0" borderId="40" xfId="0" applyBorder="1" applyAlignment="1">
      <alignment horizontal="right"/>
    </xf>
    <xf numFmtId="0" fontId="0" fillId="0" borderId="41" xfId="0" applyBorder="1" applyAlignment="1">
      <alignment horizontal="right"/>
    </xf>
    <xf numFmtId="2" fontId="0" fillId="0" borderId="37" xfId="0" applyNumberFormat="1" applyBorder="1" applyAlignment="1">
      <alignment horizontal="center"/>
    </xf>
    <xf numFmtId="2" fontId="0" fillId="0" borderId="38" xfId="0" applyNumberForma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cellXfs>
  <cellStyles count="1">
    <cellStyle name="Normal" xfId="0" builtinId="0"/>
  </cellStyles>
  <dxfs count="19">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66674</xdr:colOff>
      <xdr:row>0</xdr:row>
      <xdr:rowOff>57151</xdr:rowOff>
    </xdr:from>
    <xdr:to>
      <xdr:col>2</xdr:col>
      <xdr:colOff>316065</xdr:colOff>
      <xdr:row>2</xdr:row>
      <xdr:rowOff>247650</xdr:rowOff>
    </xdr:to>
    <xdr:pic>
      <xdr:nvPicPr>
        <xdr:cNvPr id="2" name="Picture 1">
          <a:extLst>
            <a:ext uri="{FF2B5EF4-FFF2-40B4-BE49-F238E27FC236}">
              <a16:creationId xmlns:a16="http://schemas.microsoft.com/office/drawing/2014/main" id="{4FB2E18B-282A-410E-AA1E-5F02C6BE6CC2}"/>
            </a:ext>
          </a:extLst>
        </xdr:cNvPr>
        <xdr:cNvPicPr>
          <a:picLocks noChangeAspect="1"/>
        </xdr:cNvPicPr>
      </xdr:nvPicPr>
      <xdr:blipFill>
        <a:blip xmlns:r="http://schemas.openxmlformats.org/officeDocument/2006/relationships" r:embed="rId1"/>
        <a:stretch>
          <a:fillRect/>
        </a:stretch>
      </xdr:blipFill>
      <xdr:spPr>
        <a:xfrm>
          <a:off x="66674" y="57151"/>
          <a:ext cx="1678141" cy="7238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66674</xdr:colOff>
      <xdr:row>0</xdr:row>
      <xdr:rowOff>57151</xdr:rowOff>
    </xdr:from>
    <xdr:to>
      <xdr:col>2</xdr:col>
      <xdr:colOff>316065</xdr:colOff>
      <xdr:row>2</xdr:row>
      <xdr:rowOff>247650</xdr:rowOff>
    </xdr:to>
    <xdr:pic>
      <xdr:nvPicPr>
        <xdr:cNvPr id="2" name="Picture 1">
          <a:extLst>
            <a:ext uri="{FF2B5EF4-FFF2-40B4-BE49-F238E27FC236}">
              <a16:creationId xmlns:a16="http://schemas.microsoft.com/office/drawing/2014/main" id="{DAD88F3E-9C74-4191-9FD9-CC0CF0C9C577}"/>
            </a:ext>
          </a:extLst>
        </xdr:cNvPr>
        <xdr:cNvPicPr>
          <a:picLocks noChangeAspect="1"/>
        </xdr:cNvPicPr>
      </xdr:nvPicPr>
      <xdr:blipFill>
        <a:blip xmlns:r="http://schemas.openxmlformats.org/officeDocument/2006/relationships" r:embed="rId1"/>
        <a:stretch>
          <a:fillRect/>
        </a:stretch>
      </xdr:blipFill>
      <xdr:spPr>
        <a:xfrm>
          <a:off x="66674" y="57151"/>
          <a:ext cx="1712431" cy="7238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66674</xdr:colOff>
      <xdr:row>0</xdr:row>
      <xdr:rowOff>57151</xdr:rowOff>
    </xdr:from>
    <xdr:to>
      <xdr:col>2</xdr:col>
      <xdr:colOff>316065</xdr:colOff>
      <xdr:row>2</xdr:row>
      <xdr:rowOff>247650</xdr:rowOff>
    </xdr:to>
    <xdr:pic>
      <xdr:nvPicPr>
        <xdr:cNvPr id="2" name="Picture 1">
          <a:extLst>
            <a:ext uri="{FF2B5EF4-FFF2-40B4-BE49-F238E27FC236}">
              <a16:creationId xmlns:a16="http://schemas.microsoft.com/office/drawing/2014/main" id="{7B1DC42D-5E48-42C4-8BEE-B74C4B4DDD34}"/>
            </a:ext>
          </a:extLst>
        </xdr:cNvPr>
        <xdr:cNvPicPr>
          <a:picLocks noChangeAspect="1"/>
        </xdr:cNvPicPr>
      </xdr:nvPicPr>
      <xdr:blipFill>
        <a:blip xmlns:r="http://schemas.openxmlformats.org/officeDocument/2006/relationships" r:embed="rId1"/>
        <a:stretch>
          <a:fillRect/>
        </a:stretch>
      </xdr:blipFill>
      <xdr:spPr>
        <a:xfrm>
          <a:off x="66674" y="57151"/>
          <a:ext cx="1712431" cy="7238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66674</xdr:colOff>
      <xdr:row>0</xdr:row>
      <xdr:rowOff>57151</xdr:rowOff>
    </xdr:from>
    <xdr:to>
      <xdr:col>2</xdr:col>
      <xdr:colOff>316065</xdr:colOff>
      <xdr:row>2</xdr:row>
      <xdr:rowOff>247650</xdr:rowOff>
    </xdr:to>
    <xdr:pic>
      <xdr:nvPicPr>
        <xdr:cNvPr id="2" name="Picture 1">
          <a:extLst>
            <a:ext uri="{FF2B5EF4-FFF2-40B4-BE49-F238E27FC236}">
              <a16:creationId xmlns:a16="http://schemas.microsoft.com/office/drawing/2014/main" id="{6F11A098-5A22-4B3E-A501-ED8B713C9A0E}"/>
            </a:ext>
          </a:extLst>
        </xdr:cNvPr>
        <xdr:cNvPicPr>
          <a:picLocks noChangeAspect="1"/>
        </xdr:cNvPicPr>
      </xdr:nvPicPr>
      <xdr:blipFill>
        <a:blip xmlns:r="http://schemas.openxmlformats.org/officeDocument/2006/relationships" r:embed="rId1"/>
        <a:stretch>
          <a:fillRect/>
        </a:stretch>
      </xdr:blipFill>
      <xdr:spPr>
        <a:xfrm>
          <a:off x="66674" y="57151"/>
          <a:ext cx="1712431" cy="7238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66674</xdr:colOff>
      <xdr:row>0</xdr:row>
      <xdr:rowOff>57151</xdr:rowOff>
    </xdr:from>
    <xdr:to>
      <xdr:col>2</xdr:col>
      <xdr:colOff>316065</xdr:colOff>
      <xdr:row>2</xdr:row>
      <xdr:rowOff>247650</xdr:rowOff>
    </xdr:to>
    <xdr:pic>
      <xdr:nvPicPr>
        <xdr:cNvPr id="2" name="Picture 1">
          <a:extLst>
            <a:ext uri="{FF2B5EF4-FFF2-40B4-BE49-F238E27FC236}">
              <a16:creationId xmlns:a16="http://schemas.microsoft.com/office/drawing/2014/main" id="{1A1DD4A5-1552-4A9C-9DAD-8D9FD1569163}"/>
            </a:ext>
          </a:extLst>
        </xdr:cNvPr>
        <xdr:cNvPicPr>
          <a:picLocks noChangeAspect="1"/>
        </xdr:cNvPicPr>
      </xdr:nvPicPr>
      <xdr:blipFill>
        <a:blip xmlns:r="http://schemas.openxmlformats.org/officeDocument/2006/relationships" r:embed="rId1"/>
        <a:stretch>
          <a:fillRect/>
        </a:stretch>
      </xdr:blipFill>
      <xdr:spPr>
        <a:xfrm>
          <a:off x="66674" y="57151"/>
          <a:ext cx="1712431" cy="7238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66674</xdr:colOff>
      <xdr:row>0</xdr:row>
      <xdr:rowOff>57151</xdr:rowOff>
    </xdr:from>
    <xdr:to>
      <xdr:col>2</xdr:col>
      <xdr:colOff>316065</xdr:colOff>
      <xdr:row>2</xdr:row>
      <xdr:rowOff>247650</xdr:rowOff>
    </xdr:to>
    <xdr:pic>
      <xdr:nvPicPr>
        <xdr:cNvPr id="2" name="Picture 1">
          <a:extLst>
            <a:ext uri="{FF2B5EF4-FFF2-40B4-BE49-F238E27FC236}">
              <a16:creationId xmlns:a16="http://schemas.microsoft.com/office/drawing/2014/main" id="{585FE146-8F94-4F47-B9EC-EB43862150C6}"/>
            </a:ext>
          </a:extLst>
        </xdr:cNvPr>
        <xdr:cNvPicPr>
          <a:picLocks noChangeAspect="1"/>
        </xdr:cNvPicPr>
      </xdr:nvPicPr>
      <xdr:blipFill>
        <a:blip xmlns:r="http://schemas.openxmlformats.org/officeDocument/2006/relationships" r:embed="rId1"/>
        <a:stretch>
          <a:fillRect/>
        </a:stretch>
      </xdr:blipFill>
      <xdr:spPr>
        <a:xfrm>
          <a:off x="66674" y="57151"/>
          <a:ext cx="1735291" cy="7238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664FE-09AF-4356-9D76-EB44A1DC1930}">
  <sheetPr>
    <pageSetUpPr fitToPage="1"/>
  </sheetPr>
  <dimension ref="A1:N75"/>
  <sheetViews>
    <sheetView zoomScaleNormal="100" workbookViewId="0">
      <selection activeCell="C12" sqref="C12:D12"/>
    </sheetView>
  </sheetViews>
  <sheetFormatPr baseColWidth="10" defaultColWidth="8.83203125" defaultRowHeight="15" x14ac:dyDescent="0.2"/>
  <cols>
    <col min="1" max="3" width="10.6640625" customWidth="1"/>
    <col min="4" max="4" width="12" customWidth="1"/>
    <col min="5" max="13" width="10.6640625" customWidth="1"/>
    <col min="14" max="14" width="13.5" customWidth="1"/>
  </cols>
  <sheetData>
    <row r="1" spans="1:14" ht="22" x14ac:dyDescent="0.3">
      <c r="A1" s="34"/>
      <c r="B1" s="35"/>
      <c r="C1" s="35"/>
      <c r="D1" s="38" t="s">
        <v>0</v>
      </c>
      <c r="E1" s="39"/>
      <c r="F1" s="39"/>
      <c r="G1" s="39"/>
      <c r="H1" s="39"/>
      <c r="I1" s="39"/>
      <c r="J1" s="39"/>
      <c r="K1" s="40"/>
      <c r="L1" s="4" t="s">
        <v>7</v>
      </c>
      <c r="M1" s="41" t="s">
        <v>83</v>
      </c>
      <c r="N1" s="42"/>
    </row>
    <row r="2" spans="1:14" ht="21" customHeight="1" x14ac:dyDescent="0.3">
      <c r="A2" s="36"/>
      <c r="B2" s="37"/>
      <c r="C2" s="37"/>
      <c r="D2" s="43" t="s">
        <v>79</v>
      </c>
      <c r="E2" s="44"/>
      <c r="F2" s="44"/>
      <c r="G2" s="44"/>
      <c r="H2" s="44"/>
      <c r="I2" s="44"/>
      <c r="J2" s="44"/>
      <c r="K2" s="45"/>
      <c r="L2" s="46" t="s">
        <v>1</v>
      </c>
      <c r="M2" s="47"/>
      <c r="N2" s="21">
        <v>1</v>
      </c>
    </row>
    <row r="3" spans="1:14" ht="24.75" customHeight="1" thickBot="1" x14ac:dyDescent="0.35">
      <c r="A3" s="36"/>
      <c r="B3" s="37"/>
      <c r="C3" s="37"/>
      <c r="D3" s="48" t="s">
        <v>80</v>
      </c>
      <c r="E3" s="49"/>
      <c r="F3" s="49"/>
      <c r="G3" s="49"/>
      <c r="H3" s="49"/>
      <c r="I3" s="49"/>
      <c r="J3" s="49"/>
      <c r="K3" s="50"/>
      <c r="L3" s="51" t="s">
        <v>54</v>
      </c>
      <c r="M3" s="52"/>
      <c r="N3" s="22" t="s">
        <v>95</v>
      </c>
    </row>
    <row r="4" spans="1:14" x14ac:dyDescent="0.2">
      <c r="A4" s="63" t="s">
        <v>2</v>
      </c>
      <c r="B4" s="64"/>
      <c r="C4" s="64"/>
      <c r="D4" s="64"/>
      <c r="E4" s="64"/>
      <c r="F4" s="64"/>
      <c r="G4" s="64"/>
      <c r="H4" s="64"/>
      <c r="I4" s="64"/>
      <c r="J4" s="64"/>
      <c r="K4" s="64"/>
      <c r="L4" s="64" t="s">
        <v>60</v>
      </c>
      <c r="M4" s="64"/>
      <c r="N4" s="65"/>
    </row>
    <row r="5" spans="1:14" x14ac:dyDescent="0.2">
      <c r="A5" s="66" t="s">
        <v>3</v>
      </c>
      <c r="B5" s="67"/>
      <c r="C5" s="68" t="s">
        <v>4</v>
      </c>
      <c r="D5" s="68"/>
      <c r="E5" s="68"/>
      <c r="F5" s="69" t="s">
        <v>5</v>
      </c>
      <c r="G5" s="69"/>
      <c r="H5" s="69"/>
      <c r="I5" s="60" t="s">
        <v>75</v>
      </c>
      <c r="J5" s="60"/>
      <c r="K5" s="60"/>
      <c r="L5" s="60" t="s">
        <v>76</v>
      </c>
      <c r="M5" s="60"/>
      <c r="N5" s="62"/>
    </row>
    <row r="6" spans="1:14" x14ac:dyDescent="0.2">
      <c r="A6" s="56" t="s">
        <v>8</v>
      </c>
      <c r="B6" s="57"/>
      <c r="C6" s="58" t="s">
        <v>64</v>
      </c>
      <c r="D6" s="58"/>
      <c r="E6" s="58"/>
      <c r="F6" s="59" t="s">
        <v>6</v>
      </c>
      <c r="G6" s="59"/>
      <c r="H6" s="6" t="s">
        <v>11</v>
      </c>
      <c r="I6" s="60" t="s">
        <v>65</v>
      </c>
      <c r="J6" s="60"/>
      <c r="K6" s="60"/>
      <c r="L6" s="60" t="s">
        <v>73</v>
      </c>
      <c r="M6" s="60"/>
      <c r="N6" s="62"/>
    </row>
    <row r="7" spans="1:14" x14ac:dyDescent="0.2">
      <c r="A7" s="56"/>
      <c r="B7" s="57"/>
      <c r="C7" s="58"/>
      <c r="D7" s="58"/>
      <c r="E7" s="58"/>
      <c r="F7" s="59"/>
      <c r="G7" s="59"/>
      <c r="H7" s="6" t="s">
        <v>12</v>
      </c>
      <c r="I7" s="60" t="s">
        <v>66</v>
      </c>
      <c r="J7" s="60"/>
      <c r="K7" s="60"/>
      <c r="L7" s="60" t="s">
        <v>74</v>
      </c>
      <c r="M7" s="60"/>
      <c r="N7" s="62"/>
    </row>
    <row r="8" spans="1:14" x14ac:dyDescent="0.2">
      <c r="A8" s="82" t="s">
        <v>9</v>
      </c>
      <c r="B8" s="59"/>
      <c r="C8" s="58" t="s">
        <v>97</v>
      </c>
      <c r="D8" s="58"/>
      <c r="E8" s="58"/>
      <c r="F8" s="59" t="s">
        <v>10</v>
      </c>
      <c r="G8" s="59"/>
      <c r="H8" s="2" t="s">
        <v>11</v>
      </c>
      <c r="I8" s="60" t="s">
        <v>67</v>
      </c>
      <c r="J8" s="60"/>
      <c r="K8" s="60"/>
      <c r="L8" s="73" t="s">
        <v>53</v>
      </c>
      <c r="M8" s="74"/>
      <c r="N8" s="75"/>
    </row>
    <row r="9" spans="1:14" x14ac:dyDescent="0.2">
      <c r="A9" s="82"/>
      <c r="B9" s="59"/>
      <c r="C9" s="58"/>
      <c r="D9" s="58"/>
      <c r="E9" s="58"/>
      <c r="F9" s="59"/>
      <c r="G9" s="59"/>
      <c r="H9" s="2" t="s">
        <v>12</v>
      </c>
      <c r="I9" s="60" t="s">
        <v>81</v>
      </c>
      <c r="J9" s="60"/>
      <c r="K9" s="60"/>
      <c r="L9" s="58" t="s">
        <v>72</v>
      </c>
      <c r="M9" s="58"/>
      <c r="N9" s="77"/>
    </row>
    <row r="10" spans="1:14" x14ac:dyDescent="0.2">
      <c r="A10" s="70" t="s">
        <v>33</v>
      </c>
      <c r="B10" s="71"/>
      <c r="C10" s="71"/>
      <c r="D10" s="71"/>
      <c r="E10" s="71"/>
      <c r="F10" s="71"/>
      <c r="G10" s="71"/>
      <c r="H10" s="71"/>
      <c r="I10" s="71"/>
      <c r="J10" s="71"/>
      <c r="K10" s="71"/>
      <c r="L10" s="71"/>
      <c r="M10" s="71"/>
      <c r="N10" s="72"/>
    </row>
    <row r="11" spans="1:14" x14ac:dyDescent="0.2">
      <c r="A11" s="66" t="s">
        <v>13</v>
      </c>
      <c r="B11" s="67"/>
      <c r="C11" s="61" t="s">
        <v>82</v>
      </c>
      <c r="D11" s="60"/>
      <c r="E11" s="67" t="s">
        <v>61</v>
      </c>
      <c r="F11" s="67"/>
      <c r="G11" s="78">
        <v>0</v>
      </c>
      <c r="H11" s="78"/>
      <c r="I11" s="78"/>
      <c r="J11" s="69" t="s">
        <v>29</v>
      </c>
      <c r="K11" s="81"/>
      <c r="L11" s="3" t="s">
        <v>30</v>
      </c>
      <c r="M11" s="3" t="s">
        <v>31</v>
      </c>
      <c r="N11" s="5" t="s">
        <v>32</v>
      </c>
    </row>
    <row r="12" spans="1:14" x14ac:dyDescent="0.2">
      <c r="A12" s="66" t="s">
        <v>14</v>
      </c>
      <c r="B12" s="67"/>
      <c r="C12" s="60" t="s">
        <v>106</v>
      </c>
      <c r="D12" s="60"/>
      <c r="E12" s="67" t="s">
        <v>19</v>
      </c>
      <c r="F12" s="67"/>
      <c r="G12" s="78">
        <v>0</v>
      </c>
      <c r="H12" s="78"/>
      <c r="I12" s="78"/>
      <c r="J12" s="67" t="s">
        <v>24</v>
      </c>
      <c r="K12" s="67"/>
      <c r="L12" s="20">
        <v>311</v>
      </c>
      <c r="M12" s="20"/>
      <c r="N12" s="9" t="s">
        <v>77</v>
      </c>
    </row>
    <row r="13" spans="1:14" x14ac:dyDescent="0.2">
      <c r="A13" s="66" t="s">
        <v>15</v>
      </c>
      <c r="B13" s="67"/>
      <c r="C13" s="79" t="s">
        <v>95</v>
      </c>
      <c r="D13" s="80"/>
      <c r="E13" s="67" t="s">
        <v>20</v>
      </c>
      <c r="F13" s="67"/>
      <c r="G13" s="60">
        <v>0</v>
      </c>
      <c r="H13" s="60"/>
      <c r="I13" s="60"/>
      <c r="J13" s="67" t="s">
        <v>25</v>
      </c>
      <c r="K13" s="67"/>
      <c r="L13" s="20">
        <v>224.5</v>
      </c>
      <c r="M13" s="20"/>
      <c r="N13" s="9" t="s">
        <v>77</v>
      </c>
    </row>
    <row r="14" spans="1:14" x14ac:dyDescent="0.2">
      <c r="A14" s="66" t="s">
        <v>16</v>
      </c>
      <c r="B14" s="67"/>
      <c r="C14" s="78">
        <v>4.2</v>
      </c>
      <c r="D14" s="78"/>
      <c r="E14" s="67" t="s">
        <v>21</v>
      </c>
      <c r="F14" s="67"/>
      <c r="G14" s="86">
        <v>0</v>
      </c>
      <c r="H14" s="86"/>
      <c r="I14" s="86"/>
      <c r="J14" s="67" t="s">
        <v>26</v>
      </c>
      <c r="K14" s="67"/>
      <c r="L14" s="20">
        <v>222</v>
      </c>
      <c r="M14" s="20"/>
      <c r="N14" s="9" t="s">
        <v>78</v>
      </c>
    </row>
    <row r="15" spans="1:14" x14ac:dyDescent="0.2">
      <c r="A15" s="66" t="s">
        <v>17</v>
      </c>
      <c r="B15" s="67"/>
      <c r="C15" s="78">
        <v>687.62</v>
      </c>
      <c r="D15" s="78"/>
      <c r="E15" s="67" t="s">
        <v>22</v>
      </c>
      <c r="F15" s="67"/>
      <c r="G15" s="60"/>
      <c r="H15" s="60"/>
      <c r="I15" s="60"/>
      <c r="J15" s="67" t="s">
        <v>27</v>
      </c>
      <c r="K15" s="67"/>
      <c r="L15" s="20">
        <v>164</v>
      </c>
      <c r="M15" s="20"/>
      <c r="N15" s="9" t="s">
        <v>78</v>
      </c>
    </row>
    <row r="16" spans="1:14" x14ac:dyDescent="0.2">
      <c r="A16" s="66" t="s">
        <v>18</v>
      </c>
      <c r="B16" s="67"/>
      <c r="C16" s="78">
        <v>691.82</v>
      </c>
      <c r="D16" s="78"/>
      <c r="E16" s="67" t="s">
        <v>23</v>
      </c>
      <c r="F16" s="67"/>
      <c r="G16" s="60" t="s">
        <v>38</v>
      </c>
      <c r="H16" s="60"/>
      <c r="I16" s="60"/>
      <c r="J16" s="67" t="s">
        <v>28</v>
      </c>
      <c r="K16" s="67"/>
      <c r="L16" s="20">
        <v>159</v>
      </c>
      <c r="M16" s="20"/>
      <c r="N16" s="9" t="s">
        <v>78</v>
      </c>
    </row>
    <row r="17" spans="1:14" ht="16" thickBot="1" x14ac:dyDescent="0.25">
      <c r="A17" s="83" t="s">
        <v>55</v>
      </c>
      <c r="B17" s="84"/>
      <c r="C17" s="84"/>
      <c r="D17" s="84"/>
      <c r="E17" s="84"/>
      <c r="F17" s="84"/>
      <c r="G17" s="84"/>
      <c r="H17" s="84"/>
      <c r="I17" s="84"/>
      <c r="J17" s="84"/>
      <c r="K17" s="84"/>
      <c r="L17" s="84"/>
      <c r="M17" s="84"/>
      <c r="N17" s="85"/>
    </row>
    <row r="18" spans="1:14" ht="16" thickBot="1" x14ac:dyDescent="0.25">
      <c r="A18" s="95" t="s">
        <v>96</v>
      </c>
      <c r="B18" s="96"/>
      <c r="C18" s="96"/>
      <c r="D18" s="96"/>
      <c r="E18" s="96"/>
      <c r="F18" s="96"/>
      <c r="G18" s="96"/>
      <c r="H18" s="96"/>
      <c r="I18" s="96"/>
      <c r="J18" s="96"/>
      <c r="K18" s="96"/>
      <c r="L18" s="96"/>
      <c r="M18" s="96"/>
      <c r="N18" s="97"/>
    </row>
    <row r="19" spans="1:14" ht="16" thickBot="1" x14ac:dyDescent="0.25">
      <c r="A19" s="98" t="s">
        <v>34</v>
      </c>
      <c r="B19" s="99"/>
      <c r="C19" s="99"/>
      <c r="D19" s="99"/>
      <c r="E19" s="99"/>
      <c r="F19" s="99"/>
      <c r="G19" s="99"/>
      <c r="H19" s="99"/>
      <c r="I19" s="99"/>
      <c r="J19" s="99"/>
      <c r="K19" s="99"/>
      <c r="L19" s="99"/>
      <c r="M19" s="99"/>
      <c r="N19" s="100"/>
    </row>
    <row r="20" spans="1:14" x14ac:dyDescent="0.2">
      <c r="A20" s="101" t="s">
        <v>92</v>
      </c>
      <c r="B20" s="102"/>
      <c r="C20" s="102"/>
      <c r="D20" s="102"/>
      <c r="E20" s="102"/>
      <c r="F20" s="102"/>
      <c r="G20" s="102"/>
      <c r="H20" s="102"/>
      <c r="I20" s="102"/>
      <c r="J20" s="102"/>
      <c r="K20" s="102"/>
      <c r="L20" s="102"/>
      <c r="M20" s="102"/>
      <c r="N20" s="103"/>
    </row>
    <row r="21" spans="1:14" x14ac:dyDescent="0.2">
      <c r="A21" s="104"/>
      <c r="B21" s="105"/>
      <c r="C21" s="105"/>
      <c r="D21" s="105"/>
      <c r="E21" s="105"/>
      <c r="F21" s="105"/>
      <c r="G21" s="105"/>
      <c r="H21" s="105"/>
      <c r="I21" s="105"/>
      <c r="J21" s="105"/>
      <c r="K21" s="105"/>
      <c r="L21" s="105"/>
      <c r="M21" s="105"/>
      <c r="N21" s="106"/>
    </row>
    <row r="22" spans="1:14" x14ac:dyDescent="0.2">
      <c r="A22" s="104"/>
      <c r="B22" s="105"/>
      <c r="C22" s="105"/>
      <c r="D22" s="105"/>
      <c r="E22" s="105"/>
      <c r="F22" s="105"/>
      <c r="G22" s="105"/>
      <c r="H22" s="105"/>
      <c r="I22" s="105"/>
      <c r="J22" s="105"/>
      <c r="K22" s="105"/>
      <c r="L22" s="105"/>
      <c r="M22" s="105"/>
      <c r="N22" s="106"/>
    </row>
    <row r="23" spans="1:14" x14ac:dyDescent="0.2">
      <c r="A23" s="104"/>
      <c r="B23" s="105"/>
      <c r="C23" s="105"/>
      <c r="D23" s="105"/>
      <c r="E23" s="105"/>
      <c r="F23" s="105"/>
      <c r="G23" s="105"/>
      <c r="H23" s="105"/>
      <c r="I23" s="105"/>
      <c r="J23" s="105"/>
      <c r="K23" s="105"/>
      <c r="L23" s="105"/>
      <c r="M23" s="105"/>
      <c r="N23" s="106"/>
    </row>
    <row r="24" spans="1:14" ht="16" thickBot="1" x14ac:dyDescent="0.25">
      <c r="A24" s="107"/>
      <c r="B24" s="108"/>
      <c r="C24" s="108"/>
      <c r="D24" s="108"/>
      <c r="E24" s="108"/>
      <c r="F24" s="108"/>
      <c r="G24" s="108"/>
      <c r="H24" s="108"/>
      <c r="I24" s="108"/>
      <c r="J24" s="108"/>
      <c r="K24" s="108"/>
      <c r="L24" s="108"/>
      <c r="M24" s="108"/>
      <c r="N24" s="109"/>
    </row>
    <row r="25" spans="1:14" ht="16" thickBot="1" x14ac:dyDescent="0.25">
      <c r="A25" s="98" t="s">
        <v>35</v>
      </c>
      <c r="B25" s="99"/>
      <c r="C25" s="99"/>
      <c r="D25" s="99"/>
      <c r="E25" s="99"/>
      <c r="F25" s="99"/>
      <c r="G25" s="99"/>
      <c r="H25" s="99"/>
      <c r="I25" s="99"/>
      <c r="J25" s="99"/>
      <c r="K25" s="99"/>
      <c r="L25" s="99"/>
      <c r="M25" s="99"/>
      <c r="N25" s="100"/>
    </row>
    <row r="26" spans="1:14" x14ac:dyDescent="0.2">
      <c r="A26" s="101" t="s">
        <v>94</v>
      </c>
      <c r="B26" s="102"/>
      <c r="C26" s="102"/>
      <c r="D26" s="102"/>
      <c r="E26" s="102"/>
      <c r="F26" s="102"/>
      <c r="G26" s="102"/>
      <c r="H26" s="102"/>
      <c r="I26" s="102"/>
      <c r="J26" s="102"/>
      <c r="K26" s="102"/>
      <c r="L26" s="102"/>
      <c r="M26" s="102"/>
      <c r="N26" s="103"/>
    </row>
    <row r="27" spans="1:14" x14ac:dyDescent="0.2">
      <c r="A27" s="104"/>
      <c r="B27" s="105"/>
      <c r="C27" s="105"/>
      <c r="D27" s="105"/>
      <c r="E27" s="105"/>
      <c r="F27" s="105"/>
      <c r="G27" s="105"/>
      <c r="H27" s="105"/>
      <c r="I27" s="105"/>
      <c r="J27" s="105"/>
      <c r="K27" s="105"/>
      <c r="L27" s="105"/>
      <c r="M27" s="105"/>
      <c r="N27" s="106"/>
    </row>
    <row r="28" spans="1:14" x14ac:dyDescent="0.2">
      <c r="A28" s="104"/>
      <c r="B28" s="105"/>
      <c r="C28" s="105"/>
      <c r="D28" s="105"/>
      <c r="E28" s="105"/>
      <c r="F28" s="105"/>
      <c r="G28" s="105"/>
      <c r="H28" s="105"/>
      <c r="I28" s="105"/>
      <c r="J28" s="105"/>
      <c r="K28" s="105"/>
      <c r="L28" s="105"/>
      <c r="M28" s="105"/>
      <c r="N28" s="106"/>
    </row>
    <row r="29" spans="1:14" x14ac:dyDescent="0.2">
      <c r="A29" s="104"/>
      <c r="B29" s="105"/>
      <c r="C29" s="105"/>
      <c r="D29" s="105"/>
      <c r="E29" s="105"/>
      <c r="F29" s="105"/>
      <c r="G29" s="105"/>
      <c r="H29" s="105"/>
      <c r="I29" s="105"/>
      <c r="J29" s="105"/>
      <c r="K29" s="105"/>
      <c r="L29" s="105"/>
      <c r="M29" s="105"/>
      <c r="N29" s="106"/>
    </row>
    <row r="30" spans="1:14" ht="16" thickBot="1" x14ac:dyDescent="0.25">
      <c r="A30" s="107"/>
      <c r="B30" s="108"/>
      <c r="C30" s="108"/>
      <c r="D30" s="108"/>
      <c r="E30" s="108"/>
      <c r="F30" s="108"/>
      <c r="G30" s="108"/>
      <c r="H30" s="108"/>
      <c r="I30" s="108"/>
      <c r="J30" s="108"/>
      <c r="K30" s="108"/>
      <c r="L30" s="108"/>
      <c r="M30" s="108"/>
      <c r="N30" s="109"/>
    </row>
    <row r="31" spans="1:14" ht="16" thickBot="1" x14ac:dyDescent="0.25">
      <c r="A31" s="98" t="s">
        <v>36</v>
      </c>
      <c r="B31" s="99"/>
      <c r="C31" s="99"/>
      <c r="D31" s="99"/>
      <c r="E31" s="99"/>
      <c r="F31" s="99"/>
      <c r="G31" s="99"/>
      <c r="H31" s="99"/>
      <c r="I31" s="99"/>
      <c r="J31" s="99"/>
      <c r="K31" s="100"/>
      <c r="L31" s="98" t="s">
        <v>56</v>
      </c>
      <c r="M31" s="99"/>
      <c r="N31" s="100"/>
    </row>
    <row r="32" spans="1:14" x14ac:dyDescent="0.2">
      <c r="A32" s="116" t="s">
        <v>45</v>
      </c>
      <c r="B32" s="117"/>
      <c r="C32" s="118"/>
      <c r="D32" s="122" t="s">
        <v>39</v>
      </c>
      <c r="E32" s="122"/>
      <c r="F32" s="122"/>
      <c r="G32" s="123" t="s">
        <v>42</v>
      </c>
      <c r="H32" s="124"/>
      <c r="I32" s="124"/>
      <c r="J32" s="124"/>
      <c r="K32" s="125"/>
      <c r="L32" s="87" t="s">
        <v>62</v>
      </c>
      <c r="M32" s="89" t="s">
        <v>59</v>
      </c>
      <c r="N32" s="91" t="s">
        <v>57</v>
      </c>
    </row>
    <row r="33" spans="1:14" x14ac:dyDescent="0.2">
      <c r="A33" s="119"/>
      <c r="B33" s="120"/>
      <c r="C33" s="121"/>
      <c r="D33" s="3" t="s">
        <v>41</v>
      </c>
      <c r="E33" s="3" t="s">
        <v>43</v>
      </c>
      <c r="F33" s="3" t="s">
        <v>63</v>
      </c>
      <c r="G33" s="3" t="s">
        <v>41</v>
      </c>
      <c r="H33" s="3" t="s">
        <v>40</v>
      </c>
      <c r="I33" s="3" t="s">
        <v>63</v>
      </c>
      <c r="J33" s="93" t="s">
        <v>44</v>
      </c>
      <c r="K33" s="94"/>
      <c r="L33" s="88"/>
      <c r="M33" s="90"/>
      <c r="N33" s="92"/>
    </row>
    <row r="34" spans="1:14" x14ac:dyDescent="0.2">
      <c r="A34" s="110" t="s">
        <v>68</v>
      </c>
      <c r="B34" s="111"/>
      <c r="C34" s="112"/>
      <c r="D34" s="14">
        <v>418.12000000000006</v>
      </c>
      <c r="E34" s="15">
        <f>IF(F34="","",C$16-F34)</f>
        <v>418.12000000000006</v>
      </c>
      <c r="F34" s="14">
        <v>273.7</v>
      </c>
      <c r="G34" s="16"/>
      <c r="H34" s="16"/>
      <c r="I34" s="15" t="str">
        <f>IF(H34="","",C$14-H34)</f>
        <v/>
      </c>
      <c r="J34" s="32" t="str">
        <f>IF(OR(H34="",F34=""),"",E34-H34)</f>
        <v/>
      </c>
      <c r="K34" s="33"/>
      <c r="L34" s="10"/>
      <c r="M34" s="7"/>
      <c r="N34" s="11"/>
    </row>
    <row r="35" spans="1:14" x14ac:dyDescent="0.2">
      <c r="A35" s="113" t="s">
        <v>25</v>
      </c>
      <c r="B35" s="114"/>
      <c r="C35" s="115"/>
      <c r="D35" s="14">
        <v>428.12000000000006</v>
      </c>
      <c r="E35" s="15">
        <f t="shared" ref="E35:E49" si="0">IF(F35="","",C$16-F35)</f>
        <v>428.12000000000006</v>
      </c>
      <c r="F35" s="14">
        <v>263.7</v>
      </c>
      <c r="G35" s="16"/>
      <c r="H35" s="16"/>
      <c r="I35" s="15" t="str">
        <f t="shared" ref="I35:I49" si="1">IF(H35="","",C$14-H35)</f>
        <v/>
      </c>
      <c r="J35" s="32" t="str">
        <f t="shared" ref="J35:J49" si="2">IF(OR(H35="",F35=""),"",E35-H35)</f>
        <v/>
      </c>
      <c r="K35" s="33"/>
      <c r="L35" s="10"/>
      <c r="M35" s="7"/>
      <c r="N35" s="11"/>
    </row>
    <row r="36" spans="1:14" x14ac:dyDescent="0.2">
      <c r="A36" s="110" t="s">
        <v>70</v>
      </c>
      <c r="B36" s="111"/>
      <c r="C36" s="112"/>
      <c r="D36" s="14">
        <v>461.55000000000007</v>
      </c>
      <c r="E36" s="15">
        <f t="shared" si="0"/>
        <v>461.55000000000007</v>
      </c>
      <c r="F36" s="14">
        <v>230.27</v>
      </c>
      <c r="G36" s="16"/>
      <c r="H36" s="16"/>
      <c r="I36" s="15" t="str">
        <f t="shared" si="1"/>
        <v/>
      </c>
      <c r="J36" s="32" t="str">
        <f t="shared" si="2"/>
        <v/>
      </c>
      <c r="K36" s="33"/>
      <c r="L36" s="10"/>
      <c r="M36" s="7"/>
      <c r="N36" s="11"/>
    </row>
    <row r="37" spans="1:14" x14ac:dyDescent="0.2">
      <c r="A37" s="110" t="s">
        <v>69</v>
      </c>
      <c r="B37" s="111"/>
      <c r="C37" s="112"/>
      <c r="D37" s="14">
        <v>496.32000000000005</v>
      </c>
      <c r="E37" s="15">
        <f t="shared" si="0"/>
        <v>496.32000000000005</v>
      </c>
      <c r="F37" s="14">
        <v>195.5</v>
      </c>
      <c r="G37" s="16"/>
      <c r="H37" s="16"/>
      <c r="I37" s="15" t="str">
        <f t="shared" si="1"/>
        <v/>
      </c>
      <c r="J37" s="32" t="str">
        <f t="shared" si="2"/>
        <v/>
      </c>
      <c r="K37" s="33"/>
      <c r="L37" s="10"/>
      <c r="M37" s="7"/>
      <c r="N37" s="11"/>
    </row>
    <row r="38" spans="1:14" x14ac:dyDescent="0.2">
      <c r="A38" s="110" t="s">
        <v>71</v>
      </c>
      <c r="B38" s="111"/>
      <c r="C38" s="112"/>
      <c r="D38" s="14">
        <v>532.82000000000005</v>
      </c>
      <c r="E38" s="15">
        <f t="shared" si="0"/>
        <v>532.82000000000005</v>
      </c>
      <c r="F38" s="14">
        <v>159</v>
      </c>
      <c r="G38" s="16"/>
      <c r="H38" s="16"/>
      <c r="I38" s="15" t="str">
        <f t="shared" si="1"/>
        <v/>
      </c>
      <c r="J38" s="32" t="str">
        <f t="shared" si="2"/>
        <v/>
      </c>
      <c r="K38" s="33"/>
      <c r="L38" s="10"/>
      <c r="M38" s="7"/>
      <c r="N38" s="11"/>
    </row>
    <row r="39" spans="1:14" x14ac:dyDescent="0.2">
      <c r="A39" s="110" t="s">
        <v>84</v>
      </c>
      <c r="B39" s="111"/>
      <c r="C39" s="112"/>
      <c r="D39" s="14">
        <v>649.20000000000005</v>
      </c>
      <c r="E39" s="15">
        <f t="shared" si="0"/>
        <v>649.20000000000005</v>
      </c>
      <c r="F39" s="14">
        <v>42.620000000000005</v>
      </c>
      <c r="G39" s="16"/>
      <c r="H39" s="16"/>
      <c r="I39" s="15" t="str">
        <f t="shared" si="1"/>
        <v/>
      </c>
      <c r="J39" s="32" t="str">
        <f t="shared" si="2"/>
        <v/>
      </c>
      <c r="K39" s="33"/>
      <c r="L39" s="10"/>
      <c r="M39" s="7"/>
      <c r="N39" s="11"/>
    </row>
    <row r="40" spans="1:14" x14ac:dyDescent="0.2">
      <c r="A40" s="110" t="s">
        <v>85</v>
      </c>
      <c r="B40" s="111"/>
      <c r="C40" s="112"/>
      <c r="D40" s="14">
        <v>834.2</v>
      </c>
      <c r="E40" s="15">
        <f t="shared" si="0"/>
        <v>834.2</v>
      </c>
      <c r="F40" s="14">
        <v>-142.38</v>
      </c>
      <c r="G40" s="16"/>
      <c r="H40" s="16"/>
      <c r="I40" s="15" t="str">
        <f t="shared" si="1"/>
        <v/>
      </c>
      <c r="J40" s="32" t="str">
        <f t="shared" si="2"/>
        <v/>
      </c>
      <c r="K40" s="33"/>
      <c r="L40" s="10"/>
      <c r="M40" s="7"/>
      <c r="N40" s="11"/>
    </row>
    <row r="41" spans="1:14" x14ac:dyDescent="0.2">
      <c r="A41" s="110" t="s">
        <v>86</v>
      </c>
      <c r="B41" s="111"/>
      <c r="C41" s="112"/>
      <c r="D41" s="14">
        <v>838.2</v>
      </c>
      <c r="E41" s="15">
        <f t="shared" si="0"/>
        <v>838.2</v>
      </c>
      <c r="F41" s="14">
        <v>-146.38</v>
      </c>
      <c r="G41" s="16"/>
      <c r="H41" s="16"/>
      <c r="I41" s="15"/>
      <c r="J41" s="32" t="str">
        <f t="shared" ref="J41" si="3">IF(OR(H41="",F41=""),"",E41-H41)</f>
        <v/>
      </c>
      <c r="K41" s="33"/>
      <c r="L41" s="10"/>
      <c r="M41" s="7"/>
      <c r="N41" s="11"/>
    </row>
    <row r="42" spans="1:14" x14ac:dyDescent="0.2">
      <c r="A42" s="110" t="s">
        <v>87</v>
      </c>
      <c r="B42" s="111"/>
      <c r="C42" s="112"/>
      <c r="D42" s="14">
        <v>859.82</v>
      </c>
      <c r="E42" s="15">
        <f>IF(F42="","",C$16-F42)</f>
        <v>859.82</v>
      </c>
      <c r="F42" s="14">
        <v>-168</v>
      </c>
      <c r="G42" s="16"/>
      <c r="H42" s="16"/>
      <c r="I42" s="15" t="str">
        <f t="shared" si="1"/>
        <v/>
      </c>
      <c r="J42" s="32" t="str">
        <f t="shared" si="2"/>
        <v/>
      </c>
      <c r="K42" s="33"/>
      <c r="L42" s="10"/>
      <c r="M42" s="7"/>
      <c r="N42" s="11"/>
    </row>
    <row r="43" spans="1:14" x14ac:dyDescent="0.2">
      <c r="A43" s="110" t="s">
        <v>88</v>
      </c>
      <c r="B43" s="111"/>
      <c r="C43" s="112"/>
      <c r="D43" s="23">
        <v>868.82</v>
      </c>
      <c r="E43" s="15">
        <f t="shared" si="0"/>
        <v>868.82</v>
      </c>
      <c r="F43" s="23">
        <v>-177</v>
      </c>
      <c r="G43" s="24"/>
      <c r="H43" s="24"/>
      <c r="I43" s="15" t="str">
        <f t="shared" si="1"/>
        <v/>
      </c>
      <c r="J43" s="32" t="str">
        <f t="shared" si="2"/>
        <v/>
      </c>
      <c r="K43" s="33"/>
      <c r="L43" s="25"/>
      <c r="M43" s="26"/>
      <c r="N43" s="27"/>
    </row>
    <row r="44" spans="1:14" x14ac:dyDescent="0.2">
      <c r="A44" s="110" t="s">
        <v>89</v>
      </c>
      <c r="B44" s="111"/>
      <c r="C44" s="112"/>
      <c r="D44" s="23">
        <v>1048.8200000000002</v>
      </c>
      <c r="E44" s="15">
        <f t="shared" si="0"/>
        <v>1048.8200000000002</v>
      </c>
      <c r="F44" s="23">
        <v>-357</v>
      </c>
      <c r="G44" s="24"/>
      <c r="H44" s="24"/>
      <c r="I44" s="15"/>
      <c r="J44" s="32" t="str">
        <f t="shared" ref="J44:J47" si="4">IF(OR(H44="",F44=""),"",E44-H44)</f>
        <v/>
      </c>
      <c r="K44" s="33"/>
      <c r="L44" s="25"/>
      <c r="M44" s="26"/>
      <c r="N44" s="27"/>
    </row>
    <row r="45" spans="1:14" x14ac:dyDescent="0.2">
      <c r="A45" s="113" t="s">
        <v>27</v>
      </c>
      <c r="B45" s="114"/>
      <c r="C45" s="115"/>
      <c r="D45" s="23">
        <v>1048.8200000000002</v>
      </c>
      <c r="E45" s="15">
        <f t="shared" si="0"/>
        <v>1048.8200000000002</v>
      </c>
      <c r="F45" s="23">
        <v>-357</v>
      </c>
      <c r="G45" s="24"/>
      <c r="H45" s="24"/>
      <c r="I45" s="15"/>
      <c r="J45" s="32" t="str">
        <f t="shared" si="4"/>
        <v/>
      </c>
      <c r="K45" s="33"/>
      <c r="L45" s="25"/>
      <c r="M45" s="26"/>
      <c r="N45" s="27"/>
    </row>
    <row r="46" spans="1:14" x14ac:dyDescent="0.2">
      <c r="A46" s="113" t="s">
        <v>37</v>
      </c>
      <c r="B46" s="114"/>
      <c r="C46" s="115"/>
      <c r="D46" s="23">
        <v>1048.8200000000002</v>
      </c>
      <c r="E46" s="15">
        <f t="shared" si="0"/>
        <v>1048.8200000000002</v>
      </c>
      <c r="F46" s="23">
        <v>-357</v>
      </c>
      <c r="G46" s="24"/>
      <c r="H46" s="24"/>
      <c r="I46" s="15"/>
      <c r="J46" s="32" t="str">
        <f t="shared" si="4"/>
        <v/>
      </c>
      <c r="K46" s="33"/>
      <c r="L46" s="25"/>
      <c r="M46" s="26"/>
      <c r="N46" s="27"/>
    </row>
    <row r="47" spans="1:14" x14ac:dyDescent="0.2">
      <c r="A47" s="110" t="s">
        <v>90</v>
      </c>
      <c r="B47" s="111"/>
      <c r="C47" s="112"/>
      <c r="D47" s="23">
        <v>1055.8200000000002</v>
      </c>
      <c r="E47" s="15">
        <f t="shared" si="0"/>
        <v>1055.8200000000002</v>
      </c>
      <c r="F47" s="23">
        <v>-364</v>
      </c>
      <c r="G47" s="24"/>
      <c r="H47" s="24"/>
      <c r="I47" s="15"/>
      <c r="J47" s="32" t="str">
        <f t="shared" si="4"/>
        <v/>
      </c>
      <c r="K47" s="33"/>
      <c r="L47" s="25"/>
      <c r="M47" s="26"/>
      <c r="N47" s="27"/>
    </row>
    <row r="48" spans="1:14" x14ac:dyDescent="0.2">
      <c r="A48" s="110" t="s">
        <v>91</v>
      </c>
      <c r="B48" s="111"/>
      <c r="C48" s="112"/>
      <c r="D48" s="23">
        <v>1105.8200000000002</v>
      </c>
      <c r="E48" s="15">
        <f t="shared" si="0"/>
        <v>1105.8200000000002</v>
      </c>
      <c r="F48" s="23">
        <v>-414</v>
      </c>
      <c r="G48" s="24"/>
      <c r="H48" s="24"/>
      <c r="I48" s="15" t="str">
        <f t="shared" si="1"/>
        <v/>
      </c>
      <c r="J48" s="32" t="str">
        <f t="shared" si="2"/>
        <v/>
      </c>
      <c r="K48" s="33"/>
      <c r="L48" s="25"/>
      <c r="M48" s="26"/>
      <c r="N48" s="27"/>
    </row>
    <row r="49" spans="1:14" ht="16" thickBot="1" x14ac:dyDescent="0.25">
      <c r="A49" s="136" t="s">
        <v>38</v>
      </c>
      <c r="B49" s="137"/>
      <c r="C49" s="138"/>
      <c r="D49" s="23">
        <v>1118.8200000000002</v>
      </c>
      <c r="E49" s="15">
        <f t="shared" si="0"/>
        <v>1118.8200000000002</v>
      </c>
      <c r="F49" s="17">
        <v>-427</v>
      </c>
      <c r="G49" s="19"/>
      <c r="H49" s="19"/>
      <c r="I49" s="18" t="str">
        <f t="shared" si="1"/>
        <v/>
      </c>
      <c r="J49" s="139" t="str">
        <f t="shared" si="2"/>
        <v/>
      </c>
      <c r="K49" s="140"/>
      <c r="L49" s="12"/>
      <c r="M49" s="8"/>
      <c r="N49" s="13"/>
    </row>
    <row r="50" spans="1:14" x14ac:dyDescent="0.2">
      <c r="A50" s="70" t="s">
        <v>46</v>
      </c>
      <c r="B50" s="71"/>
      <c r="C50" s="71"/>
      <c r="D50" s="71"/>
      <c r="E50" s="71"/>
      <c r="F50" s="71"/>
      <c r="G50" s="71"/>
      <c r="H50" s="71"/>
      <c r="I50" s="71"/>
      <c r="J50" s="71"/>
      <c r="K50" s="71"/>
      <c r="L50" s="71"/>
      <c r="M50" s="71"/>
      <c r="N50" s="72"/>
    </row>
    <row r="51" spans="1:14" x14ac:dyDescent="0.2">
      <c r="A51" s="141" t="s">
        <v>47</v>
      </c>
      <c r="B51" s="69"/>
      <c r="C51" s="69"/>
      <c r="D51" s="69" t="s">
        <v>48</v>
      </c>
      <c r="E51" s="69"/>
      <c r="F51" s="69"/>
      <c r="G51" s="69" t="s">
        <v>49</v>
      </c>
      <c r="H51" s="69"/>
      <c r="I51" s="69" t="s">
        <v>58</v>
      </c>
      <c r="J51" s="69"/>
      <c r="K51" s="69" t="s">
        <v>50</v>
      </c>
      <c r="L51" s="69"/>
      <c r="M51" s="69" t="s">
        <v>51</v>
      </c>
      <c r="N51" s="142"/>
    </row>
    <row r="52" spans="1:14" x14ac:dyDescent="0.2">
      <c r="A52" s="132"/>
      <c r="B52" s="133"/>
      <c r="C52" s="133"/>
      <c r="D52" s="133"/>
      <c r="E52" s="133"/>
      <c r="F52" s="133"/>
      <c r="G52" s="134" t="str">
        <f>IF(D52="","",(D52/A52))</f>
        <v/>
      </c>
      <c r="H52" s="134"/>
      <c r="I52" s="133"/>
      <c r="J52" s="133"/>
      <c r="K52" s="68"/>
      <c r="L52" s="68"/>
      <c r="M52" s="68"/>
      <c r="N52" s="135"/>
    </row>
    <row r="53" spans="1:14" x14ac:dyDescent="0.2">
      <c r="A53" s="70" t="s">
        <v>52</v>
      </c>
      <c r="B53" s="71"/>
      <c r="C53" s="71"/>
      <c r="D53" s="71"/>
      <c r="E53" s="71"/>
      <c r="F53" s="71"/>
      <c r="G53" s="71"/>
      <c r="H53" s="71"/>
      <c r="I53" s="71"/>
      <c r="J53" s="71"/>
      <c r="K53" s="71"/>
      <c r="L53" s="71"/>
      <c r="M53" s="71"/>
      <c r="N53" s="72"/>
    </row>
    <row r="54" spans="1:14" x14ac:dyDescent="0.2">
      <c r="A54" s="126" t="s">
        <v>93</v>
      </c>
      <c r="B54" s="127"/>
      <c r="C54" s="127"/>
      <c r="D54" s="127"/>
      <c r="E54" s="127"/>
      <c r="F54" s="127"/>
      <c r="G54" s="127"/>
      <c r="H54" s="127"/>
      <c r="I54" s="127"/>
      <c r="J54" s="127"/>
      <c r="K54" s="127"/>
      <c r="L54" s="127"/>
      <c r="M54" s="127"/>
      <c r="N54" s="128"/>
    </row>
    <row r="55" spans="1:14" x14ac:dyDescent="0.2">
      <c r="A55" s="126"/>
      <c r="B55" s="127"/>
      <c r="C55" s="127"/>
      <c r="D55" s="127"/>
      <c r="E55" s="127"/>
      <c r="F55" s="127"/>
      <c r="G55" s="127"/>
      <c r="H55" s="127"/>
      <c r="I55" s="127"/>
      <c r="J55" s="127"/>
      <c r="K55" s="127"/>
      <c r="L55" s="127"/>
      <c r="M55" s="127"/>
      <c r="N55" s="128"/>
    </row>
    <row r="56" spans="1:14" x14ac:dyDescent="0.2">
      <c r="A56" s="126"/>
      <c r="B56" s="127"/>
      <c r="C56" s="127"/>
      <c r="D56" s="127"/>
      <c r="E56" s="127"/>
      <c r="F56" s="127"/>
      <c r="G56" s="127"/>
      <c r="H56" s="127"/>
      <c r="I56" s="127"/>
      <c r="J56" s="127"/>
      <c r="K56" s="127"/>
      <c r="L56" s="127"/>
      <c r="M56" s="127"/>
      <c r="N56" s="128"/>
    </row>
    <row r="57" spans="1:14" x14ac:dyDescent="0.2">
      <c r="A57" s="126"/>
      <c r="B57" s="127"/>
      <c r="C57" s="127"/>
      <c r="D57" s="127"/>
      <c r="E57" s="127"/>
      <c r="F57" s="127"/>
      <c r="G57" s="127"/>
      <c r="H57" s="127"/>
      <c r="I57" s="127"/>
      <c r="J57" s="127"/>
      <c r="K57" s="127"/>
      <c r="L57" s="127"/>
      <c r="M57" s="127"/>
      <c r="N57" s="128"/>
    </row>
    <row r="58" spans="1:14" x14ac:dyDescent="0.2">
      <c r="A58" s="126"/>
      <c r="B58" s="127"/>
      <c r="C58" s="127"/>
      <c r="D58" s="127"/>
      <c r="E58" s="127"/>
      <c r="F58" s="127"/>
      <c r="G58" s="127"/>
      <c r="H58" s="127"/>
      <c r="I58" s="127"/>
      <c r="J58" s="127"/>
      <c r="K58" s="127"/>
      <c r="L58" s="127"/>
      <c r="M58" s="127"/>
      <c r="N58" s="128"/>
    </row>
    <row r="59" spans="1:14" x14ac:dyDescent="0.2">
      <c r="A59" s="126"/>
      <c r="B59" s="127"/>
      <c r="C59" s="127"/>
      <c r="D59" s="127"/>
      <c r="E59" s="127"/>
      <c r="F59" s="127"/>
      <c r="G59" s="127"/>
      <c r="H59" s="127"/>
      <c r="I59" s="127"/>
      <c r="J59" s="127"/>
      <c r="K59" s="127"/>
      <c r="L59" s="127"/>
      <c r="M59" s="127"/>
      <c r="N59" s="128"/>
    </row>
    <row r="60" spans="1:14" x14ac:dyDescent="0.2">
      <c r="A60" s="126"/>
      <c r="B60" s="127"/>
      <c r="C60" s="127"/>
      <c r="D60" s="127"/>
      <c r="E60" s="127"/>
      <c r="F60" s="127"/>
      <c r="G60" s="127"/>
      <c r="H60" s="127"/>
      <c r="I60" s="127"/>
      <c r="J60" s="127"/>
      <c r="K60" s="127"/>
      <c r="L60" s="127"/>
      <c r="M60" s="127"/>
      <c r="N60" s="128"/>
    </row>
    <row r="61" spans="1:14" x14ac:dyDescent="0.2">
      <c r="A61" s="126"/>
      <c r="B61" s="127"/>
      <c r="C61" s="127"/>
      <c r="D61" s="127"/>
      <c r="E61" s="127"/>
      <c r="F61" s="127"/>
      <c r="G61" s="127"/>
      <c r="H61" s="127"/>
      <c r="I61" s="127"/>
      <c r="J61" s="127"/>
      <c r="K61" s="127"/>
      <c r="L61" s="127"/>
      <c r="M61" s="127"/>
      <c r="N61" s="128"/>
    </row>
    <row r="62" spans="1:14" x14ac:dyDescent="0.2">
      <c r="A62" s="126"/>
      <c r="B62" s="127"/>
      <c r="C62" s="127"/>
      <c r="D62" s="127"/>
      <c r="E62" s="127"/>
      <c r="F62" s="127"/>
      <c r="G62" s="127"/>
      <c r="H62" s="127"/>
      <c r="I62" s="127"/>
      <c r="J62" s="127"/>
      <c r="K62" s="127"/>
      <c r="L62" s="127"/>
      <c r="M62" s="127"/>
      <c r="N62" s="128"/>
    </row>
    <row r="63" spans="1:14" x14ac:dyDescent="0.2">
      <c r="A63" s="126"/>
      <c r="B63" s="127"/>
      <c r="C63" s="127"/>
      <c r="D63" s="127"/>
      <c r="E63" s="127"/>
      <c r="F63" s="127"/>
      <c r="G63" s="127"/>
      <c r="H63" s="127"/>
      <c r="I63" s="127"/>
      <c r="J63" s="127"/>
      <c r="K63" s="127"/>
      <c r="L63" s="127"/>
      <c r="M63" s="127"/>
      <c r="N63" s="128"/>
    </row>
    <row r="64" spans="1:14" x14ac:dyDescent="0.2">
      <c r="A64" s="126"/>
      <c r="B64" s="127"/>
      <c r="C64" s="127"/>
      <c r="D64" s="127"/>
      <c r="E64" s="127"/>
      <c r="F64" s="127"/>
      <c r="G64" s="127"/>
      <c r="H64" s="127"/>
      <c r="I64" s="127"/>
      <c r="J64" s="127"/>
      <c r="K64" s="127"/>
      <c r="L64" s="127"/>
      <c r="M64" s="127"/>
      <c r="N64" s="128"/>
    </row>
    <row r="65" spans="1:14" x14ac:dyDescent="0.2">
      <c r="A65" s="126"/>
      <c r="B65" s="127"/>
      <c r="C65" s="127"/>
      <c r="D65" s="127"/>
      <c r="E65" s="127"/>
      <c r="F65" s="127"/>
      <c r="G65" s="127"/>
      <c r="H65" s="127"/>
      <c r="I65" s="127"/>
      <c r="J65" s="127"/>
      <c r="K65" s="127"/>
      <c r="L65" s="127"/>
      <c r="M65" s="127"/>
      <c r="N65" s="128"/>
    </row>
    <row r="66" spans="1:14" x14ac:dyDescent="0.2">
      <c r="A66" s="126"/>
      <c r="B66" s="127"/>
      <c r="C66" s="127"/>
      <c r="D66" s="127"/>
      <c r="E66" s="127"/>
      <c r="F66" s="127"/>
      <c r="G66" s="127"/>
      <c r="H66" s="127"/>
      <c r="I66" s="127"/>
      <c r="J66" s="127"/>
      <c r="K66" s="127"/>
      <c r="L66" s="127"/>
      <c r="M66" s="127"/>
      <c r="N66" s="128"/>
    </row>
    <row r="67" spans="1:14" x14ac:dyDescent="0.2">
      <c r="A67" s="126"/>
      <c r="B67" s="127"/>
      <c r="C67" s="127"/>
      <c r="D67" s="127"/>
      <c r="E67" s="127"/>
      <c r="F67" s="127"/>
      <c r="G67" s="127"/>
      <c r="H67" s="127"/>
      <c r="I67" s="127"/>
      <c r="J67" s="127"/>
      <c r="K67" s="127"/>
      <c r="L67" s="127"/>
      <c r="M67" s="127"/>
      <c r="N67" s="128"/>
    </row>
    <row r="68" spans="1:14" x14ac:dyDescent="0.2">
      <c r="A68" s="126"/>
      <c r="B68" s="127"/>
      <c r="C68" s="127"/>
      <c r="D68" s="127"/>
      <c r="E68" s="127"/>
      <c r="F68" s="127"/>
      <c r="G68" s="127"/>
      <c r="H68" s="127"/>
      <c r="I68" s="127"/>
      <c r="J68" s="127"/>
      <c r="K68" s="127"/>
      <c r="L68" s="127"/>
      <c r="M68" s="127"/>
      <c r="N68" s="128"/>
    </row>
    <row r="69" spans="1:14" x14ac:dyDescent="0.2">
      <c r="A69" s="126"/>
      <c r="B69" s="127"/>
      <c r="C69" s="127"/>
      <c r="D69" s="127"/>
      <c r="E69" s="127"/>
      <c r="F69" s="127"/>
      <c r="G69" s="127"/>
      <c r="H69" s="127"/>
      <c r="I69" s="127"/>
      <c r="J69" s="127"/>
      <c r="K69" s="127"/>
      <c r="L69" s="127"/>
      <c r="M69" s="127"/>
      <c r="N69" s="128"/>
    </row>
    <row r="70" spans="1:14" x14ac:dyDescent="0.2">
      <c r="A70" s="126"/>
      <c r="B70" s="127"/>
      <c r="C70" s="127"/>
      <c r="D70" s="127"/>
      <c r="E70" s="127"/>
      <c r="F70" s="127"/>
      <c r="G70" s="127"/>
      <c r="H70" s="127"/>
      <c r="I70" s="127"/>
      <c r="J70" s="127"/>
      <c r="K70" s="127"/>
      <c r="L70" s="127"/>
      <c r="M70" s="127"/>
      <c r="N70" s="128"/>
    </row>
    <row r="71" spans="1:14" x14ac:dyDescent="0.2">
      <c r="A71" s="126"/>
      <c r="B71" s="127"/>
      <c r="C71" s="127"/>
      <c r="D71" s="127"/>
      <c r="E71" s="127"/>
      <c r="F71" s="127"/>
      <c r="G71" s="127"/>
      <c r="H71" s="127"/>
      <c r="I71" s="127"/>
      <c r="J71" s="127"/>
      <c r="K71" s="127"/>
      <c r="L71" s="127"/>
      <c r="M71" s="127"/>
      <c r="N71" s="128"/>
    </row>
    <row r="72" spans="1:14" x14ac:dyDescent="0.2">
      <c r="A72" s="126"/>
      <c r="B72" s="127"/>
      <c r="C72" s="127"/>
      <c r="D72" s="127"/>
      <c r="E72" s="127"/>
      <c r="F72" s="127"/>
      <c r="G72" s="127"/>
      <c r="H72" s="127"/>
      <c r="I72" s="127"/>
      <c r="J72" s="127"/>
      <c r="K72" s="127"/>
      <c r="L72" s="127"/>
      <c r="M72" s="127"/>
      <c r="N72" s="128"/>
    </row>
    <row r="73" spans="1:14" x14ac:dyDescent="0.2">
      <c r="A73" s="126"/>
      <c r="B73" s="127"/>
      <c r="C73" s="127"/>
      <c r="D73" s="127"/>
      <c r="E73" s="127"/>
      <c r="F73" s="127"/>
      <c r="G73" s="127"/>
      <c r="H73" s="127"/>
      <c r="I73" s="127"/>
      <c r="J73" s="127"/>
      <c r="K73" s="127"/>
      <c r="L73" s="127"/>
      <c r="M73" s="127"/>
      <c r="N73" s="128"/>
    </row>
    <row r="74" spans="1:14" ht="16" thickBot="1" x14ac:dyDescent="0.25">
      <c r="A74" s="129"/>
      <c r="B74" s="130"/>
      <c r="C74" s="130"/>
      <c r="D74" s="130"/>
      <c r="E74" s="130"/>
      <c r="F74" s="130"/>
      <c r="G74" s="130"/>
      <c r="H74" s="130"/>
      <c r="I74" s="130"/>
      <c r="J74" s="130"/>
      <c r="K74" s="130"/>
      <c r="L74" s="130"/>
      <c r="M74" s="130"/>
      <c r="N74" s="131"/>
    </row>
    <row r="75" spans="1:14" x14ac:dyDescent="0.2">
      <c r="A75" s="1"/>
      <c r="B75" s="1"/>
      <c r="C75" s="1"/>
      <c r="D75" s="1"/>
      <c r="E75" s="1"/>
      <c r="F75" s="1"/>
      <c r="G75" s="1"/>
      <c r="H75" s="1"/>
      <c r="I75" s="1"/>
      <c r="J75" s="1"/>
      <c r="K75" s="1"/>
      <c r="L75" s="1"/>
      <c r="M75" s="1"/>
      <c r="N75" s="1"/>
    </row>
  </sheetData>
  <sheetProtection formatCells="0" formatColumns="0" formatRows="0" insertColumns="0" insertRows="0" insertHyperlinks="0" deleteColumns="0" deleteRows="0" sort="0" autoFilter="0" pivotTables="0"/>
  <mergeCells count="121">
    <mergeCell ref="A44:C44"/>
    <mergeCell ref="A45:C45"/>
    <mergeCell ref="A46:C46"/>
    <mergeCell ref="A47:C47"/>
    <mergeCell ref="A53:N53"/>
    <mergeCell ref="A54:N74"/>
    <mergeCell ref="M51:N51"/>
    <mergeCell ref="A52:C52"/>
    <mergeCell ref="D52:F52"/>
    <mergeCell ref="G52:H52"/>
    <mergeCell ref="I52:J52"/>
    <mergeCell ref="K52:L52"/>
    <mergeCell ref="M52:N52"/>
    <mergeCell ref="A48:C48"/>
    <mergeCell ref="J48:K48"/>
    <mergeCell ref="A49:C49"/>
    <mergeCell ref="J49:K49"/>
    <mergeCell ref="A50:N50"/>
    <mergeCell ref="A51:C51"/>
    <mergeCell ref="D51:F51"/>
    <mergeCell ref="G51:H51"/>
    <mergeCell ref="I51:J51"/>
    <mergeCell ref="K51:L51"/>
    <mergeCell ref="J44:K44"/>
    <mergeCell ref="A40:C40"/>
    <mergeCell ref="J40:K40"/>
    <mergeCell ref="A42:C42"/>
    <mergeCell ref="J42:K42"/>
    <mergeCell ref="A43:C43"/>
    <mergeCell ref="J43:K43"/>
    <mergeCell ref="A37:C37"/>
    <mergeCell ref="J37:K37"/>
    <mergeCell ref="A38:C38"/>
    <mergeCell ref="J38:K38"/>
    <mergeCell ref="A39:C39"/>
    <mergeCell ref="J39:K39"/>
    <mergeCell ref="A41:C41"/>
    <mergeCell ref="J41:K41"/>
    <mergeCell ref="A34:C34"/>
    <mergeCell ref="J34:K34"/>
    <mergeCell ref="A35:C35"/>
    <mergeCell ref="J35:K35"/>
    <mergeCell ref="A36:C36"/>
    <mergeCell ref="J36:K36"/>
    <mergeCell ref="A32:C33"/>
    <mergeCell ref="D32:F32"/>
    <mergeCell ref="G32:K32"/>
    <mergeCell ref="L32:L33"/>
    <mergeCell ref="M32:M33"/>
    <mergeCell ref="N32:N33"/>
    <mergeCell ref="J33:K33"/>
    <mergeCell ref="A18:N18"/>
    <mergeCell ref="A19:N19"/>
    <mergeCell ref="A20:N24"/>
    <mergeCell ref="A25:N25"/>
    <mergeCell ref="A26:N30"/>
    <mergeCell ref="A31:K31"/>
    <mergeCell ref="L31:N31"/>
    <mergeCell ref="A16:B16"/>
    <mergeCell ref="C16:D16"/>
    <mergeCell ref="E16:F16"/>
    <mergeCell ref="G16:I16"/>
    <mergeCell ref="J16:K16"/>
    <mergeCell ref="A17:N17"/>
    <mergeCell ref="A14:B14"/>
    <mergeCell ref="C14:D14"/>
    <mergeCell ref="E14:F14"/>
    <mergeCell ref="G14:I14"/>
    <mergeCell ref="J14:K14"/>
    <mergeCell ref="A15:B15"/>
    <mergeCell ref="C15:D15"/>
    <mergeCell ref="E15:F15"/>
    <mergeCell ref="G15:I15"/>
    <mergeCell ref="J15:K15"/>
    <mergeCell ref="A12:B12"/>
    <mergeCell ref="C12:D12"/>
    <mergeCell ref="E12:F12"/>
    <mergeCell ref="G12:I12"/>
    <mergeCell ref="J12:K12"/>
    <mergeCell ref="A13:B13"/>
    <mergeCell ref="C13:D13"/>
    <mergeCell ref="E13:F13"/>
    <mergeCell ref="G13:I13"/>
    <mergeCell ref="J13:K13"/>
    <mergeCell ref="A10:N10"/>
    <mergeCell ref="A11:B11"/>
    <mergeCell ref="C11:D11"/>
    <mergeCell ref="E11:F11"/>
    <mergeCell ref="G11:I11"/>
    <mergeCell ref="J11:K11"/>
    <mergeCell ref="A8:B9"/>
    <mergeCell ref="C8:E9"/>
    <mergeCell ref="F8:G9"/>
    <mergeCell ref="I8:K8"/>
    <mergeCell ref="L8:N8"/>
    <mergeCell ref="I9:K9"/>
    <mergeCell ref="L9:N9"/>
    <mergeCell ref="J45:K45"/>
    <mergeCell ref="J46:K46"/>
    <mergeCell ref="J47:K47"/>
    <mergeCell ref="A1:C3"/>
    <mergeCell ref="D1:K1"/>
    <mergeCell ref="M1:N1"/>
    <mergeCell ref="D2:K2"/>
    <mergeCell ref="L2:M2"/>
    <mergeCell ref="D3:K3"/>
    <mergeCell ref="L3:M3"/>
    <mergeCell ref="A6:B7"/>
    <mergeCell ref="C6:E7"/>
    <mergeCell ref="F6:G7"/>
    <mergeCell ref="I6:K6"/>
    <mergeCell ref="L6:N6"/>
    <mergeCell ref="I7:K7"/>
    <mergeCell ref="L7:N7"/>
    <mergeCell ref="A4:K4"/>
    <mergeCell ref="L4:N4"/>
    <mergeCell ref="A5:B5"/>
    <mergeCell ref="C5:E5"/>
    <mergeCell ref="F5:H5"/>
    <mergeCell ref="I5:K5"/>
    <mergeCell ref="L5:N5"/>
  </mergeCells>
  <conditionalFormatting sqref="D34:K41 F42:K47 D42:E49 F48:J48 F49:K49 G52:H52">
    <cfRule type="notContainsBlanks" dxfId="18" priority="3">
      <formula>LEN(TRIM(D34))&gt;0</formula>
    </cfRule>
  </conditionalFormatting>
  <conditionalFormatting sqref="I8:K9">
    <cfRule type="notContainsBlanks" dxfId="17" priority="1">
      <formula>LEN(TRIM(I8))&gt;0</formula>
    </cfRule>
  </conditionalFormatting>
  <conditionalFormatting sqref="M1:N1 D2:K3 N2:N3 I5:N7 C6:E9 L9:N9 C11:D16 G11:I16 A18:N18 A20:N24 A26:N30">
    <cfRule type="notContainsBlanks" dxfId="16" priority="2">
      <formula>LEN(TRIM(A1))&gt;0</formula>
    </cfRule>
  </conditionalFormatting>
  <dataValidations count="4">
    <dataValidation type="list" allowBlank="1" showInputMessage="1" showErrorMessage="1" sqref="G15:I16" xr:uid="{C3145786-1707-4173-AF74-B861997DB81B}">
      <formula1>$A$34:$A$49</formula1>
    </dataValidation>
    <dataValidation allowBlank="1" showInputMessage="1" showErrorMessage="1" prompt="Insert any additional comments &amp; photos if necessary " sqref="A54:N74" xr:uid="{65A44652-8863-426B-A083-E529AFBDE3F8}"/>
    <dataValidation allowBlank="1" showInputMessage="1" showErrorMessage="1" prompt="UWI Here" sqref="D3:K3" xr:uid="{06B31D0A-F1C6-4F2A-95C3-F24360F12EF5}"/>
    <dataValidation allowBlank="1" showInputMessage="1" showErrorMessage="1" prompt="Well Name Here" sqref="D2:K2" xr:uid="{E952AE9B-6192-42DB-A36D-F865235EF7F2}"/>
  </dataValidations>
  <pageMargins left="0.7" right="0.7" top="0.75" bottom="0.75" header="0.3" footer="0.3"/>
  <pageSetup scale="5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96504-758E-4588-BBF4-562ADE01FE15}">
  <sheetPr>
    <pageSetUpPr fitToPage="1"/>
  </sheetPr>
  <dimension ref="A1:N75"/>
  <sheetViews>
    <sheetView zoomScaleNormal="100" workbookViewId="0">
      <selection activeCell="C12" sqref="C12:D12"/>
    </sheetView>
  </sheetViews>
  <sheetFormatPr baseColWidth="10" defaultColWidth="8.83203125" defaultRowHeight="15" x14ac:dyDescent="0.2"/>
  <cols>
    <col min="1" max="3" width="10.6640625" customWidth="1"/>
    <col min="4" max="4" width="12" customWidth="1"/>
    <col min="5" max="13" width="10.6640625" customWidth="1"/>
    <col min="14" max="14" width="13.5" customWidth="1"/>
  </cols>
  <sheetData>
    <row r="1" spans="1:14" ht="22" x14ac:dyDescent="0.3">
      <c r="A1" s="34"/>
      <c r="B1" s="35"/>
      <c r="C1" s="35"/>
      <c r="D1" s="38" t="s">
        <v>0</v>
      </c>
      <c r="E1" s="39"/>
      <c r="F1" s="39"/>
      <c r="G1" s="39"/>
      <c r="H1" s="39"/>
      <c r="I1" s="39"/>
      <c r="J1" s="39"/>
      <c r="K1" s="40"/>
      <c r="L1" s="4" t="s">
        <v>7</v>
      </c>
      <c r="M1" s="41" t="s">
        <v>98</v>
      </c>
      <c r="N1" s="42"/>
    </row>
    <row r="2" spans="1:14" ht="21" customHeight="1" x14ac:dyDescent="0.3">
      <c r="A2" s="36"/>
      <c r="B2" s="37"/>
      <c r="C2" s="37"/>
      <c r="D2" s="43" t="s">
        <v>79</v>
      </c>
      <c r="E2" s="44"/>
      <c r="F2" s="44"/>
      <c r="G2" s="44"/>
      <c r="H2" s="44"/>
      <c r="I2" s="44"/>
      <c r="J2" s="44"/>
      <c r="K2" s="45"/>
      <c r="L2" s="46" t="s">
        <v>1</v>
      </c>
      <c r="M2" s="47"/>
      <c r="N2" s="21">
        <v>2</v>
      </c>
    </row>
    <row r="3" spans="1:14" ht="24.75" customHeight="1" thickBot="1" x14ac:dyDescent="0.35">
      <c r="A3" s="36"/>
      <c r="B3" s="37"/>
      <c r="C3" s="37"/>
      <c r="D3" s="48" t="s">
        <v>80</v>
      </c>
      <c r="E3" s="49"/>
      <c r="F3" s="49"/>
      <c r="G3" s="49"/>
      <c r="H3" s="49"/>
      <c r="I3" s="49"/>
      <c r="J3" s="49"/>
      <c r="K3" s="50"/>
      <c r="L3" s="51" t="s">
        <v>54</v>
      </c>
      <c r="M3" s="52"/>
      <c r="N3" s="22" t="s">
        <v>95</v>
      </c>
    </row>
    <row r="4" spans="1:14" x14ac:dyDescent="0.2">
      <c r="A4" s="63" t="s">
        <v>2</v>
      </c>
      <c r="B4" s="64"/>
      <c r="C4" s="64"/>
      <c r="D4" s="64"/>
      <c r="E4" s="64"/>
      <c r="F4" s="64"/>
      <c r="G4" s="64"/>
      <c r="H4" s="64"/>
      <c r="I4" s="64"/>
      <c r="J4" s="64"/>
      <c r="K4" s="64"/>
      <c r="L4" s="64" t="s">
        <v>60</v>
      </c>
      <c r="M4" s="64"/>
      <c r="N4" s="65"/>
    </row>
    <row r="5" spans="1:14" x14ac:dyDescent="0.2">
      <c r="A5" s="66" t="s">
        <v>3</v>
      </c>
      <c r="B5" s="67"/>
      <c r="C5" s="68" t="s">
        <v>4</v>
      </c>
      <c r="D5" s="68"/>
      <c r="E5" s="68"/>
      <c r="F5" s="69" t="s">
        <v>5</v>
      </c>
      <c r="G5" s="69"/>
      <c r="H5" s="69"/>
      <c r="I5" s="60" t="s">
        <v>75</v>
      </c>
      <c r="J5" s="60"/>
      <c r="K5" s="60"/>
      <c r="L5" s="60" t="s">
        <v>76</v>
      </c>
      <c r="M5" s="60"/>
      <c r="N5" s="62"/>
    </row>
    <row r="6" spans="1:14" x14ac:dyDescent="0.2">
      <c r="A6" s="56" t="s">
        <v>8</v>
      </c>
      <c r="B6" s="57"/>
      <c r="C6" s="58" t="s">
        <v>64</v>
      </c>
      <c r="D6" s="58"/>
      <c r="E6" s="58"/>
      <c r="F6" s="59" t="s">
        <v>6</v>
      </c>
      <c r="G6" s="59"/>
      <c r="H6" s="6" t="s">
        <v>11</v>
      </c>
      <c r="I6" s="60" t="s">
        <v>65</v>
      </c>
      <c r="J6" s="60"/>
      <c r="K6" s="60"/>
      <c r="L6" s="60" t="s">
        <v>73</v>
      </c>
      <c r="M6" s="60"/>
      <c r="N6" s="62"/>
    </row>
    <row r="7" spans="1:14" x14ac:dyDescent="0.2">
      <c r="A7" s="56"/>
      <c r="B7" s="57"/>
      <c r="C7" s="58"/>
      <c r="D7" s="58"/>
      <c r="E7" s="58"/>
      <c r="F7" s="59"/>
      <c r="G7" s="59"/>
      <c r="H7" s="6" t="s">
        <v>12</v>
      </c>
      <c r="I7" s="60" t="s">
        <v>66</v>
      </c>
      <c r="J7" s="60"/>
      <c r="K7" s="60"/>
      <c r="L7" s="60" t="s">
        <v>74</v>
      </c>
      <c r="M7" s="60"/>
      <c r="N7" s="62"/>
    </row>
    <row r="8" spans="1:14" x14ac:dyDescent="0.2">
      <c r="A8" s="82" t="s">
        <v>9</v>
      </c>
      <c r="B8" s="59"/>
      <c r="C8" s="58" t="s">
        <v>97</v>
      </c>
      <c r="D8" s="58"/>
      <c r="E8" s="58"/>
      <c r="F8" s="59" t="s">
        <v>10</v>
      </c>
      <c r="G8" s="59"/>
      <c r="H8" s="2" t="s">
        <v>11</v>
      </c>
      <c r="I8" s="60" t="s">
        <v>67</v>
      </c>
      <c r="J8" s="60"/>
      <c r="K8" s="60"/>
      <c r="L8" s="73" t="s">
        <v>53</v>
      </c>
      <c r="M8" s="74"/>
      <c r="N8" s="75"/>
    </row>
    <row r="9" spans="1:14" x14ac:dyDescent="0.2">
      <c r="A9" s="82"/>
      <c r="B9" s="59"/>
      <c r="C9" s="58"/>
      <c r="D9" s="58"/>
      <c r="E9" s="58"/>
      <c r="F9" s="59"/>
      <c r="G9" s="59"/>
      <c r="H9" s="2" t="s">
        <v>12</v>
      </c>
      <c r="I9" s="60" t="s">
        <v>81</v>
      </c>
      <c r="J9" s="60"/>
      <c r="K9" s="60"/>
      <c r="L9" s="58" t="s">
        <v>72</v>
      </c>
      <c r="M9" s="58"/>
      <c r="N9" s="77"/>
    </row>
    <row r="10" spans="1:14" x14ac:dyDescent="0.2">
      <c r="A10" s="70" t="s">
        <v>33</v>
      </c>
      <c r="B10" s="71"/>
      <c r="C10" s="71"/>
      <c r="D10" s="71"/>
      <c r="E10" s="71"/>
      <c r="F10" s="71"/>
      <c r="G10" s="71"/>
      <c r="H10" s="71"/>
      <c r="I10" s="71"/>
      <c r="J10" s="71"/>
      <c r="K10" s="71"/>
      <c r="L10" s="71"/>
      <c r="M10" s="71"/>
      <c r="N10" s="72"/>
    </row>
    <row r="11" spans="1:14" x14ac:dyDescent="0.2">
      <c r="A11" s="66" t="s">
        <v>13</v>
      </c>
      <c r="B11" s="67"/>
      <c r="C11" s="61" t="s">
        <v>82</v>
      </c>
      <c r="D11" s="60"/>
      <c r="E11" s="67" t="s">
        <v>61</v>
      </c>
      <c r="F11" s="67"/>
      <c r="G11" s="78">
        <v>0</v>
      </c>
      <c r="H11" s="78"/>
      <c r="I11" s="78"/>
      <c r="J11" s="69" t="s">
        <v>29</v>
      </c>
      <c r="K11" s="81"/>
      <c r="L11" s="3" t="s">
        <v>30</v>
      </c>
      <c r="M11" s="3" t="s">
        <v>31</v>
      </c>
      <c r="N11" s="5" t="s">
        <v>32</v>
      </c>
    </row>
    <row r="12" spans="1:14" x14ac:dyDescent="0.2">
      <c r="A12" s="66" t="s">
        <v>14</v>
      </c>
      <c r="B12" s="67"/>
      <c r="C12" s="60" t="s">
        <v>106</v>
      </c>
      <c r="D12" s="60"/>
      <c r="E12" s="67" t="s">
        <v>19</v>
      </c>
      <c r="F12" s="67"/>
      <c r="G12" s="78">
        <v>0</v>
      </c>
      <c r="H12" s="78"/>
      <c r="I12" s="78"/>
      <c r="J12" s="67" t="s">
        <v>24</v>
      </c>
      <c r="K12" s="67"/>
      <c r="L12" s="20">
        <v>311</v>
      </c>
      <c r="M12" s="20"/>
      <c r="N12" s="9" t="s">
        <v>77</v>
      </c>
    </row>
    <row r="13" spans="1:14" x14ac:dyDescent="0.2">
      <c r="A13" s="66" t="s">
        <v>15</v>
      </c>
      <c r="B13" s="67"/>
      <c r="C13" s="79" t="s">
        <v>95</v>
      </c>
      <c r="D13" s="80"/>
      <c r="E13" s="67" t="s">
        <v>20</v>
      </c>
      <c r="F13" s="67"/>
      <c r="G13" s="60">
        <v>0</v>
      </c>
      <c r="H13" s="60"/>
      <c r="I13" s="60"/>
      <c r="J13" s="67" t="s">
        <v>25</v>
      </c>
      <c r="K13" s="67"/>
      <c r="L13" s="20">
        <v>224.5</v>
      </c>
      <c r="M13" s="20"/>
      <c r="N13" s="9" t="s">
        <v>77</v>
      </c>
    </row>
    <row r="14" spans="1:14" x14ac:dyDescent="0.2">
      <c r="A14" s="66" t="s">
        <v>16</v>
      </c>
      <c r="B14" s="67"/>
      <c r="C14" s="78">
        <v>4.2</v>
      </c>
      <c r="D14" s="78"/>
      <c r="E14" s="67" t="s">
        <v>21</v>
      </c>
      <c r="F14" s="67"/>
      <c r="G14" s="86">
        <v>0</v>
      </c>
      <c r="H14" s="86"/>
      <c r="I14" s="86"/>
      <c r="J14" s="67" t="s">
        <v>26</v>
      </c>
      <c r="K14" s="67"/>
      <c r="L14" s="20">
        <v>222</v>
      </c>
      <c r="M14" s="20"/>
      <c r="N14" s="9" t="s">
        <v>78</v>
      </c>
    </row>
    <row r="15" spans="1:14" x14ac:dyDescent="0.2">
      <c r="A15" s="66" t="s">
        <v>17</v>
      </c>
      <c r="B15" s="67"/>
      <c r="C15" s="78">
        <v>687.62</v>
      </c>
      <c r="D15" s="78"/>
      <c r="E15" s="67" t="s">
        <v>22</v>
      </c>
      <c r="F15" s="67"/>
      <c r="G15" s="60"/>
      <c r="H15" s="60"/>
      <c r="I15" s="60"/>
      <c r="J15" s="67" t="s">
        <v>27</v>
      </c>
      <c r="K15" s="67"/>
      <c r="L15" s="20">
        <v>164</v>
      </c>
      <c r="M15" s="20"/>
      <c r="N15" s="9" t="s">
        <v>78</v>
      </c>
    </row>
    <row r="16" spans="1:14" x14ac:dyDescent="0.2">
      <c r="A16" s="66" t="s">
        <v>18</v>
      </c>
      <c r="B16" s="67"/>
      <c r="C16" s="78">
        <v>691.82</v>
      </c>
      <c r="D16" s="78"/>
      <c r="E16" s="67" t="s">
        <v>23</v>
      </c>
      <c r="F16" s="67"/>
      <c r="G16" s="60" t="s">
        <v>38</v>
      </c>
      <c r="H16" s="60"/>
      <c r="I16" s="60"/>
      <c r="J16" s="67" t="s">
        <v>28</v>
      </c>
      <c r="K16" s="67"/>
      <c r="L16" s="20">
        <v>159</v>
      </c>
      <c r="M16" s="20"/>
      <c r="N16" s="9" t="s">
        <v>78</v>
      </c>
    </row>
    <row r="17" spans="1:14" ht="16" thickBot="1" x14ac:dyDescent="0.25">
      <c r="A17" s="83" t="s">
        <v>55</v>
      </c>
      <c r="B17" s="84"/>
      <c r="C17" s="84"/>
      <c r="D17" s="84"/>
      <c r="E17" s="84"/>
      <c r="F17" s="84"/>
      <c r="G17" s="84"/>
      <c r="H17" s="84"/>
      <c r="I17" s="84"/>
      <c r="J17" s="84"/>
      <c r="K17" s="84"/>
      <c r="L17" s="84"/>
      <c r="M17" s="84"/>
      <c r="N17" s="85"/>
    </row>
    <row r="18" spans="1:14" ht="16" thickBot="1" x14ac:dyDescent="0.25">
      <c r="A18" s="95" t="s">
        <v>99</v>
      </c>
      <c r="B18" s="96"/>
      <c r="C18" s="96"/>
      <c r="D18" s="96"/>
      <c r="E18" s="96"/>
      <c r="F18" s="96"/>
      <c r="G18" s="96"/>
      <c r="H18" s="96"/>
      <c r="I18" s="96"/>
      <c r="J18" s="96"/>
      <c r="K18" s="96"/>
      <c r="L18" s="96"/>
      <c r="M18" s="96"/>
      <c r="N18" s="97"/>
    </row>
    <row r="19" spans="1:14" ht="16" thickBot="1" x14ac:dyDescent="0.25">
      <c r="A19" s="98" t="s">
        <v>34</v>
      </c>
      <c r="B19" s="99"/>
      <c r="C19" s="99"/>
      <c r="D19" s="99"/>
      <c r="E19" s="99"/>
      <c r="F19" s="99"/>
      <c r="G19" s="99"/>
      <c r="H19" s="99"/>
      <c r="I19" s="99"/>
      <c r="J19" s="99"/>
      <c r="K19" s="99"/>
      <c r="L19" s="99"/>
      <c r="M19" s="99"/>
      <c r="N19" s="100"/>
    </row>
    <row r="20" spans="1:14" x14ac:dyDescent="0.2">
      <c r="A20" s="101" t="s">
        <v>100</v>
      </c>
      <c r="B20" s="102"/>
      <c r="C20" s="102"/>
      <c r="D20" s="102"/>
      <c r="E20" s="102"/>
      <c r="F20" s="102"/>
      <c r="G20" s="102"/>
      <c r="H20" s="102"/>
      <c r="I20" s="102"/>
      <c r="J20" s="102"/>
      <c r="K20" s="102"/>
      <c r="L20" s="102"/>
      <c r="M20" s="102"/>
      <c r="N20" s="103"/>
    </row>
    <row r="21" spans="1:14" x14ac:dyDescent="0.2">
      <c r="A21" s="104"/>
      <c r="B21" s="105"/>
      <c r="C21" s="105"/>
      <c r="D21" s="105"/>
      <c r="E21" s="105"/>
      <c r="F21" s="105"/>
      <c r="G21" s="105"/>
      <c r="H21" s="105"/>
      <c r="I21" s="105"/>
      <c r="J21" s="105"/>
      <c r="K21" s="105"/>
      <c r="L21" s="105"/>
      <c r="M21" s="105"/>
      <c r="N21" s="106"/>
    </row>
    <row r="22" spans="1:14" x14ac:dyDescent="0.2">
      <c r="A22" s="104"/>
      <c r="B22" s="105"/>
      <c r="C22" s="105"/>
      <c r="D22" s="105"/>
      <c r="E22" s="105"/>
      <c r="F22" s="105"/>
      <c r="G22" s="105"/>
      <c r="H22" s="105"/>
      <c r="I22" s="105"/>
      <c r="J22" s="105"/>
      <c r="K22" s="105"/>
      <c r="L22" s="105"/>
      <c r="M22" s="105"/>
      <c r="N22" s="106"/>
    </row>
    <row r="23" spans="1:14" x14ac:dyDescent="0.2">
      <c r="A23" s="104"/>
      <c r="B23" s="105"/>
      <c r="C23" s="105"/>
      <c r="D23" s="105"/>
      <c r="E23" s="105"/>
      <c r="F23" s="105"/>
      <c r="G23" s="105"/>
      <c r="H23" s="105"/>
      <c r="I23" s="105"/>
      <c r="J23" s="105"/>
      <c r="K23" s="105"/>
      <c r="L23" s="105"/>
      <c r="M23" s="105"/>
      <c r="N23" s="106"/>
    </row>
    <row r="24" spans="1:14" ht="16" thickBot="1" x14ac:dyDescent="0.25">
      <c r="A24" s="107"/>
      <c r="B24" s="108"/>
      <c r="C24" s="108"/>
      <c r="D24" s="108"/>
      <c r="E24" s="108"/>
      <c r="F24" s="108"/>
      <c r="G24" s="108"/>
      <c r="H24" s="108"/>
      <c r="I24" s="108"/>
      <c r="J24" s="108"/>
      <c r="K24" s="108"/>
      <c r="L24" s="108"/>
      <c r="M24" s="108"/>
      <c r="N24" s="109"/>
    </row>
    <row r="25" spans="1:14" ht="16" thickBot="1" x14ac:dyDescent="0.25">
      <c r="A25" s="98" t="s">
        <v>35</v>
      </c>
      <c r="B25" s="99"/>
      <c r="C25" s="99"/>
      <c r="D25" s="99"/>
      <c r="E25" s="99"/>
      <c r="F25" s="99"/>
      <c r="G25" s="99"/>
      <c r="H25" s="99"/>
      <c r="I25" s="99"/>
      <c r="J25" s="99"/>
      <c r="K25" s="99"/>
      <c r="L25" s="99"/>
      <c r="M25" s="99"/>
      <c r="N25" s="100"/>
    </row>
    <row r="26" spans="1:14" x14ac:dyDescent="0.2">
      <c r="A26" s="101" t="s">
        <v>101</v>
      </c>
      <c r="B26" s="102"/>
      <c r="C26" s="102"/>
      <c r="D26" s="102"/>
      <c r="E26" s="102"/>
      <c r="F26" s="102"/>
      <c r="G26" s="102"/>
      <c r="H26" s="102"/>
      <c r="I26" s="102"/>
      <c r="J26" s="102"/>
      <c r="K26" s="102"/>
      <c r="L26" s="102"/>
      <c r="M26" s="102"/>
      <c r="N26" s="103"/>
    </row>
    <row r="27" spans="1:14" x14ac:dyDescent="0.2">
      <c r="A27" s="104"/>
      <c r="B27" s="105"/>
      <c r="C27" s="105"/>
      <c r="D27" s="105"/>
      <c r="E27" s="105"/>
      <c r="F27" s="105"/>
      <c r="G27" s="105"/>
      <c r="H27" s="105"/>
      <c r="I27" s="105"/>
      <c r="J27" s="105"/>
      <c r="K27" s="105"/>
      <c r="L27" s="105"/>
      <c r="M27" s="105"/>
      <c r="N27" s="106"/>
    </row>
    <row r="28" spans="1:14" x14ac:dyDescent="0.2">
      <c r="A28" s="104"/>
      <c r="B28" s="105"/>
      <c r="C28" s="105"/>
      <c r="D28" s="105"/>
      <c r="E28" s="105"/>
      <c r="F28" s="105"/>
      <c r="G28" s="105"/>
      <c r="H28" s="105"/>
      <c r="I28" s="105"/>
      <c r="J28" s="105"/>
      <c r="K28" s="105"/>
      <c r="L28" s="105"/>
      <c r="M28" s="105"/>
      <c r="N28" s="106"/>
    </row>
    <row r="29" spans="1:14" x14ac:dyDescent="0.2">
      <c r="A29" s="104"/>
      <c r="B29" s="105"/>
      <c r="C29" s="105"/>
      <c r="D29" s="105"/>
      <c r="E29" s="105"/>
      <c r="F29" s="105"/>
      <c r="G29" s="105"/>
      <c r="H29" s="105"/>
      <c r="I29" s="105"/>
      <c r="J29" s="105"/>
      <c r="K29" s="105"/>
      <c r="L29" s="105"/>
      <c r="M29" s="105"/>
      <c r="N29" s="106"/>
    </row>
    <row r="30" spans="1:14" ht="16" thickBot="1" x14ac:dyDescent="0.25">
      <c r="A30" s="107"/>
      <c r="B30" s="108"/>
      <c r="C30" s="108"/>
      <c r="D30" s="108"/>
      <c r="E30" s="108"/>
      <c r="F30" s="108"/>
      <c r="G30" s="108"/>
      <c r="H30" s="108"/>
      <c r="I30" s="108"/>
      <c r="J30" s="108"/>
      <c r="K30" s="108"/>
      <c r="L30" s="108"/>
      <c r="M30" s="108"/>
      <c r="N30" s="109"/>
    </row>
    <row r="31" spans="1:14" ht="16" thickBot="1" x14ac:dyDescent="0.25">
      <c r="A31" s="98" t="s">
        <v>36</v>
      </c>
      <c r="B31" s="99"/>
      <c r="C31" s="99"/>
      <c r="D31" s="99"/>
      <c r="E31" s="99"/>
      <c r="F31" s="99"/>
      <c r="G31" s="99"/>
      <c r="H31" s="99"/>
      <c r="I31" s="99"/>
      <c r="J31" s="99"/>
      <c r="K31" s="100"/>
      <c r="L31" s="98" t="s">
        <v>56</v>
      </c>
      <c r="M31" s="99"/>
      <c r="N31" s="100"/>
    </row>
    <row r="32" spans="1:14" x14ac:dyDescent="0.2">
      <c r="A32" s="116" t="s">
        <v>45</v>
      </c>
      <c r="B32" s="117"/>
      <c r="C32" s="118"/>
      <c r="D32" s="122" t="s">
        <v>39</v>
      </c>
      <c r="E32" s="122"/>
      <c r="F32" s="122"/>
      <c r="G32" s="123" t="s">
        <v>42</v>
      </c>
      <c r="H32" s="124"/>
      <c r="I32" s="124"/>
      <c r="J32" s="124"/>
      <c r="K32" s="125"/>
      <c r="L32" s="87" t="s">
        <v>62</v>
      </c>
      <c r="M32" s="89" t="s">
        <v>59</v>
      </c>
      <c r="N32" s="91" t="s">
        <v>57</v>
      </c>
    </row>
    <row r="33" spans="1:14" x14ac:dyDescent="0.2">
      <c r="A33" s="119"/>
      <c r="B33" s="120"/>
      <c r="C33" s="121"/>
      <c r="D33" s="3" t="s">
        <v>41</v>
      </c>
      <c r="E33" s="3" t="s">
        <v>43</v>
      </c>
      <c r="F33" s="3" t="s">
        <v>63</v>
      </c>
      <c r="G33" s="3" t="s">
        <v>41</v>
      </c>
      <c r="H33" s="3" t="s">
        <v>40</v>
      </c>
      <c r="I33" s="3" t="s">
        <v>63</v>
      </c>
      <c r="J33" s="93" t="s">
        <v>44</v>
      </c>
      <c r="K33" s="94"/>
      <c r="L33" s="88"/>
      <c r="M33" s="90"/>
      <c r="N33" s="92"/>
    </row>
    <row r="34" spans="1:14" x14ac:dyDescent="0.2">
      <c r="A34" s="110" t="s">
        <v>68</v>
      </c>
      <c r="B34" s="111"/>
      <c r="C34" s="112"/>
      <c r="D34" s="14">
        <v>418.12000000000006</v>
      </c>
      <c r="E34" s="15">
        <f>IF(F34="","",C$16-F34)</f>
        <v>418.12000000000006</v>
      </c>
      <c r="F34" s="14">
        <v>273.7</v>
      </c>
      <c r="G34" s="16"/>
      <c r="H34" s="16"/>
      <c r="I34" s="15" t="str">
        <f>IF(H34="","",C$14-H34)</f>
        <v/>
      </c>
      <c r="J34" s="32" t="str">
        <f>IF(OR(H34="",F34=""),"",E34-H34)</f>
        <v/>
      </c>
      <c r="K34" s="33"/>
      <c r="L34" s="10"/>
      <c r="M34" s="7"/>
      <c r="N34" s="11"/>
    </row>
    <row r="35" spans="1:14" x14ac:dyDescent="0.2">
      <c r="A35" s="113" t="s">
        <v>25</v>
      </c>
      <c r="B35" s="114"/>
      <c r="C35" s="115"/>
      <c r="D35" s="14">
        <v>428.12000000000006</v>
      </c>
      <c r="E35" s="15">
        <f t="shared" ref="E35:E49" si="0">IF(F35="","",C$16-F35)</f>
        <v>428.12000000000006</v>
      </c>
      <c r="F35" s="14">
        <v>263.7</v>
      </c>
      <c r="G35" s="16"/>
      <c r="H35" s="16"/>
      <c r="I35" s="15" t="str">
        <f t="shared" ref="I35:I49" si="1">IF(H35="","",C$14-H35)</f>
        <v/>
      </c>
      <c r="J35" s="32" t="str">
        <f t="shared" ref="J35:J49" si="2">IF(OR(H35="",F35=""),"",E35-H35)</f>
        <v/>
      </c>
      <c r="K35" s="33"/>
      <c r="L35" s="10"/>
      <c r="M35" s="7"/>
      <c r="N35" s="11"/>
    </row>
    <row r="36" spans="1:14" x14ac:dyDescent="0.2">
      <c r="A36" s="110" t="s">
        <v>70</v>
      </c>
      <c r="B36" s="111"/>
      <c r="C36" s="112"/>
      <c r="D36" s="14">
        <v>461.55000000000007</v>
      </c>
      <c r="E36" s="15">
        <f t="shared" si="0"/>
        <v>461.55000000000007</v>
      </c>
      <c r="F36" s="14">
        <v>230.27</v>
      </c>
      <c r="G36" s="16"/>
      <c r="H36" s="16"/>
      <c r="I36" s="15" t="str">
        <f t="shared" si="1"/>
        <v/>
      </c>
      <c r="J36" s="32" t="str">
        <f t="shared" si="2"/>
        <v/>
      </c>
      <c r="K36" s="33"/>
      <c r="L36" s="10"/>
      <c r="M36" s="7"/>
      <c r="N36" s="11"/>
    </row>
    <row r="37" spans="1:14" x14ac:dyDescent="0.2">
      <c r="A37" s="110" t="s">
        <v>69</v>
      </c>
      <c r="B37" s="111"/>
      <c r="C37" s="112"/>
      <c r="D37" s="14">
        <v>496.32000000000005</v>
      </c>
      <c r="E37" s="15">
        <f t="shared" si="0"/>
        <v>496.32000000000005</v>
      </c>
      <c r="F37" s="14">
        <v>195.5</v>
      </c>
      <c r="G37" s="16"/>
      <c r="H37" s="16"/>
      <c r="I37" s="15" t="str">
        <f t="shared" si="1"/>
        <v/>
      </c>
      <c r="J37" s="32" t="str">
        <f t="shared" si="2"/>
        <v/>
      </c>
      <c r="K37" s="33"/>
      <c r="L37" s="10"/>
      <c r="M37" s="7"/>
      <c r="N37" s="11"/>
    </row>
    <row r="38" spans="1:14" x14ac:dyDescent="0.2">
      <c r="A38" s="110" t="s">
        <v>71</v>
      </c>
      <c r="B38" s="111"/>
      <c r="C38" s="112"/>
      <c r="D38" s="14">
        <v>532.82000000000005</v>
      </c>
      <c r="E38" s="15">
        <f t="shared" si="0"/>
        <v>532.82000000000005</v>
      </c>
      <c r="F38" s="14">
        <v>159</v>
      </c>
      <c r="G38" s="16"/>
      <c r="H38" s="16"/>
      <c r="I38" s="15" t="str">
        <f t="shared" si="1"/>
        <v/>
      </c>
      <c r="J38" s="32" t="str">
        <f t="shared" si="2"/>
        <v/>
      </c>
      <c r="K38" s="33"/>
      <c r="L38" s="10"/>
      <c r="M38" s="7"/>
      <c r="N38" s="11"/>
    </row>
    <row r="39" spans="1:14" x14ac:dyDescent="0.2">
      <c r="A39" s="110" t="s">
        <v>84</v>
      </c>
      <c r="B39" s="111"/>
      <c r="C39" s="112"/>
      <c r="D39" s="14">
        <v>649.20000000000005</v>
      </c>
      <c r="E39" s="15">
        <f t="shared" si="0"/>
        <v>649.20000000000005</v>
      </c>
      <c r="F39" s="14">
        <v>42.620000000000005</v>
      </c>
      <c r="G39" s="16"/>
      <c r="H39" s="16"/>
      <c r="I39" s="15" t="str">
        <f t="shared" si="1"/>
        <v/>
      </c>
      <c r="J39" s="32" t="str">
        <f t="shared" si="2"/>
        <v/>
      </c>
      <c r="K39" s="33"/>
      <c r="L39" s="10"/>
      <c r="M39" s="7"/>
      <c r="N39" s="11"/>
    </row>
    <row r="40" spans="1:14" x14ac:dyDescent="0.2">
      <c r="A40" s="110" t="s">
        <v>85</v>
      </c>
      <c r="B40" s="111"/>
      <c r="C40" s="112"/>
      <c r="D40" s="14">
        <v>834.2</v>
      </c>
      <c r="E40" s="15">
        <f t="shared" si="0"/>
        <v>834.2</v>
      </c>
      <c r="F40" s="14">
        <v>-142.38</v>
      </c>
      <c r="G40" s="16"/>
      <c r="H40" s="16"/>
      <c r="I40" s="15" t="str">
        <f t="shared" si="1"/>
        <v/>
      </c>
      <c r="J40" s="32" t="str">
        <f t="shared" si="2"/>
        <v/>
      </c>
      <c r="K40" s="33"/>
      <c r="L40" s="10"/>
      <c r="M40" s="7"/>
      <c r="N40" s="11"/>
    </row>
    <row r="41" spans="1:14" x14ac:dyDescent="0.2">
      <c r="A41" s="110" t="s">
        <v>86</v>
      </c>
      <c r="B41" s="111"/>
      <c r="C41" s="112"/>
      <c r="D41" s="14">
        <v>838.2</v>
      </c>
      <c r="E41" s="15">
        <f t="shared" si="0"/>
        <v>838.2</v>
      </c>
      <c r="F41" s="14">
        <v>-146.38</v>
      </c>
      <c r="G41" s="16"/>
      <c r="H41" s="16"/>
      <c r="I41" s="15"/>
      <c r="J41" s="32" t="str">
        <f t="shared" ref="J41" si="3">IF(OR(H41="",F41=""),"",E41-H41)</f>
        <v/>
      </c>
      <c r="K41" s="33"/>
      <c r="L41" s="10"/>
      <c r="M41" s="7"/>
      <c r="N41" s="11"/>
    </row>
    <row r="42" spans="1:14" x14ac:dyDescent="0.2">
      <c r="A42" s="110" t="s">
        <v>87</v>
      </c>
      <c r="B42" s="111"/>
      <c r="C42" s="112"/>
      <c r="D42" s="14">
        <v>859.82</v>
      </c>
      <c r="E42" s="15">
        <f>IF(F42="","",C$16-F42)</f>
        <v>859.82</v>
      </c>
      <c r="F42" s="14">
        <v>-168</v>
      </c>
      <c r="G42" s="16"/>
      <c r="H42" s="16"/>
      <c r="I42" s="15" t="str">
        <f t="shared" si="1"/>
        <v/>
      </c>
      <c r="J42" s="32" t="str">
        <f t="shared" si="2"/>
        <v/>
      </c>
      <c r="K42" s="33"/>
      <c r="L42" s="10"/>
      <c r="M42" s="7"/>
      <c r="N42" s="11"/>
    </row>
    <row r="43" spans="1:14" x14ac:dyDescent="0.2">
      <c r="A43" s="110" t="s">
        <v>88</v>
      </c>
      <c r="B43" s="111"/>
      <c r="C43" s="112"/>
      <c r="D43" s="23">
        <v>868.82</v>
      </c>
      <c r="E43" s="15">
        <f t="shared" si="0"/>
        <v>868.82</v>
      </c>
      <c r="F43" s="23">
        <v>-177</v>
      </c>
      <c r="G43" s="24"/>
      <c r="H43" s="24"/>
      <c r="I43" s="15" t="str">
        <f t="shared" si="1"/>
        <v/>
      </c>
      <c r="J43" s="32" t="str">
        <f t="shared" si="2"/>
        <v/>
      </c>
      <c r="K43" s="33"/>
      <c r="L43" s="25"/>
      <c r="M43" s="26"/>
      <c r="N43" s="27"/>
    </row>
    <row r="44" spans="1:14" x14ac:dyDescent="0.2">
      <c r="A44" s="110" t="s">
        <v>89</v>
      </c>
      <c r="B44" s="111"/>
      <c r="C44" s="112"/>
      <c r="D44" s="23">
        <v>1048.8200000000002</v>
      </c>
      <c r="E44" s="15">
        <f t="shared" si="0"/>
        <v>1048.8200000000002</v>
      </c>
      <c r="F44" s="23">
        <v>-357</v>
      </c>
      <c r="G44" s="24"/>
      <c r="H44" s="24"/>
      <c r="I44" s="15"/>
      <c r="J44" s="32" t="str">
        <f t="shared" ref="J44:J47" si="4">IF(OR(H44="",F44=""),"",E44-H44)</f>
        <v/>
      </c>
      <c r="K44" s="33"/>
      <c r="L44" s="25"/>
      <c r="M44" s="26"/>
      <c r="N44" s="27"/>
    </row>
    <row r="45" spans="1:14" x14ac:dyDescent="0.2">
      <c r="A45" s="113" t="s">
        <v>27</v>
      </c>
      <c r="B45" s="114"/>
      <c r="C45" s="115"/>
      <c r="D45" s="23">
        <v>1048.8200000000002</v>
      </c>
      <c r="E45" s="15">
        <f t="shared" si="0"/>
        <v>1048.8200000000002</v>
      </c>
      <c r="F45" s="23">
        <v>-357</v>
      </c>
      <c r="G45" s="24"/>
      <c r="H45" s="24"/>
      <c r="I45" s="15"/>
      <c r="J45" s="32" t="str">
        <f t="shared" si="4"/>
        <v/>
      </c>
      <c r="K45" s="33"/>
      <c r="L45" s="25"/>
      <c r="M45" s="26"/>
      <c r="N45" s="27"/>
    </row>
    <row r="46" spans="1:14" x14ac:dyDescent="0.2">
      <c r="A46" s="113" t="s">
        <v>37</v>
      </c>
      <c r="B46" s="114"/>
      <c r="C46" s="115"/>
      <c r="D46" s="23">
        <v>1048.8200000000002</v>
      </c>
      <c r="E46" s="15">
        <f t="shared" si="0"/>
        <v>1048.8200000000002</v>
      </c>
      <c r="F46" s="23">
        <v>-357</v>
      </c>
      <c r="G46" s="24"/>
      <c r="H46" s="24"/>
      <c r="I46" s="15"/>
      <c r="J46" s="32" t="str">
        <f t="shared" si="4"/>
        <v/>
      </c>
      <c r="K46" s="33"/>
      <c r="L46" s="25"/>
      <c r="M46" s="26"/>
      <c r="N46" s="27"/>
    </row>
    <row r="47" spans="1:14" x14ac:dyDescent="0.2">
      <c r="A47" s="110" t="s">
        <v>90</v>
      </c>
      <c r="B47" s="111"/>
      <c r="C47" s="112"/>
      <c r="D47" s="23">
        <v>1055.8200000000002</v>
      </c>
      <c r="E47" s="15">
        <f t="shared" si="0"/>
        <v>1055.8200000000002</v>
      </c>
      <c r="F47" s="23">
        <v>-364</v>
      </c>
      <c r="G47" s="24"/>
      <c r="H47" s="24"/>
      <c r="I47" s="15"/>
      <c r="J47" s="32" t="str">
        <f t="shared" si="4"/>
        <v/>
      </c>
      <c r="K47" s="33"/>
      <c r="L47" s="25"/>
      <c r="M47" s="26"/>
      <c r="N47" s="27"/>
    </row>
    <row r="48" spans="1:14" x14ac:dyDescent="0.2">
      <c r="A48" s="110" t="s">
        <v>91</v>
      </c>
      <c r="B48" s="111"/>
      <c r="C48" s="112"/>
      <c r="D48" s="23">
        <v>1105.8200000000002</v>
      </c>
      <c r="E48" s="15">
        <f t="shared" si="0"/>
        <v>1105.8200000000002</v>
      </c>
      <c r="F48" s="23">
        <v>-414</v>
      </c>
      <c r="G48" s="24"/>
      <c r="H48" s="24"/>
      <c r="I48" s="15" t="str">
        <f t="shared" si="1"/>
        <v/>
      </c>
      <c r="J48" s="32" t="str">
        <f t="shared" si="2"/>
        <v/>
      </c>
      <c r="K48" s="33"/>
      <c r="L48" s="25"/>
      <c r="M48" s="26"/>
      <c r="N48" s="27"/>
    </row>
    <row r="49" spans="1:14" ht="16" thickBot="1" x14ac:dyDescent="0.25">
      <c r="A49" s="136" t="s">
        <v>38</v>
      </c>
      <c r="B49" s="137"/>
      <c r="C49" s="138"/>
      <c r="D49" s="23">
        <v>1118.8200000000002</v>
      </c>
      <c r="E49" s="15">
        <f t="shared" si="0"/>
        <v>1118.8200000000002</v>
      </c>
      <c r="F49" s="17">
        <v>-427</v>
      </c>
      <c r="G49" s="19"/>
      <c r="H49" s="19"/>
      <c r="I49" s="18" t="str">
        <f t="shared" si="1"/>
        <v/>
      </c>
      <c r="J49" s="139" t="str">
        <f t="shared" si="2"/>
        <v/>
      </c>
      <c r="K49" s="140"/>
      <c r="L49" s="12"/>
      <c r="M49" s="8"/>
      <c r="N49" s="13"/>
    </row>
    <row r="50" spans="1:14" x14ac:dyDescent="0.2">
      <c r="A50" s="70" t="s">
        <v>46</v>
      </c>
      <c r="B50" s="71"/>
      <c r="C50" s="71"/>
      <c r="D50" s="71"/>
      <c r="E50" s="71"/>
      <c r="F50" s="71"/>
      <c r="G50" s="71"/>
      <c r="H50" s="71"/>
      <c r="I50" s="71"/>
      <c r="J50" s="71"/>
      <c r="K50" s="71"/>
      <c r="L50" s="71"/>
      <c r="M50" s="71"/>
      <c r="N50" s="72"/>
    </row>
    <row r="51" spans="1:14" x14ac:dyDescent="0.2">
      <c r="A51" s="141" t="s">
        <v>47</v>
      </c>
      <c r="B51" s="69"/>
      <c r="C51" s="69"/>
      <c r="D51" s="69" t="s">
        <v>48</v>
      </c>
      <c r="E51" s="69"/>
      <c r="F51" s="69"/>
      <c r="G51" s="69" t="s">
        <v>49</v>
      </c>
      <c r="H51" s="69"/>
      <c r="I51" s="69" t="s">
        <v>58</v>
      </c>
      <c r="J51" s="69"/>
      <c r="K51" s="69" t="s">
        <v>50</v>
      </c>
      <c r="L51" s="69"/>
      <c r="M51" s="69" t="s">
        <v>51</v>
      </c>
      <c r="N51" s="142"/>
    </row>
    <row r="52" spans="1:14" x14ac:dyDescent="0.2">
      <c r="A52" s="132"/>
      <c r="B52" s="133"/>
      <c r="C52" s="133"/>
      <c r="D52" s="133"/>
      <c r="E52" s="133"/>
      <c r="F52" s="133"/>
      <c r="G52" s="134" t="str">
        <f>IF(D52="","",(D52/A52))</f>
        <v/>
      </c>
      <c r="H52" s="134"/>
      <c r="I52" s="133"/>
      <c r="J52" s="133"/>
      <c r="K52" s="68"/>
      <c r="L52" s="68"/>
      <c r="M52" s="68"/>
      <c r="N52" s="135"/>
    </row>
    <row r="53" spans="1:14" x14ac:dyDescent="0.2">
      <c r="A53" s="70" t="s">
        <v>52</v>
      </c>
      <c r="B53" s="71"/>
      <c r="C53" s="71"/>
      <c r="D53" s="71"/>
      <c r="E53" s="71"/>
      <c r="F53" s="71"/>
      <c r="G53" s="71"/>
      <c r="H53" s="71"/>
      <c r="I53" s="71"/>
      <c r="J53" s="71"/>
      <c r="K53" s="71"/>
      <c r="L53" s="71"/>
      <c r="M53" s="71"/>
      <c r="N53" s="72"/>
    </row>
    <row r="54" spans="1:14" x14ac:dyDescent="0.2">
      <c r="A54" s="126" t="s">
        <v>93</v>
      </c>
      <c r="B54" s="127"/>
      <c r="C54" s="127"/>
      <c r="D54" s="127"/>
      <c r="E54" s="127"/>
      <c r="F54" s="127"/>
      <c r="G54" s="127"/>
      <c r="H54" s="127"/>
      <c r="I54" s="127"/>
      <c r="J54" s="127"/>
      <c r="K54" s="127"/>
      <c r="L54" s="127"/>
      <c r="M54" s="127"/>
      <c r="N54" s="128"/>
    </row>
    <row r="55" spans="1:14" x14ac:dyDescent="0.2">
      <c r="A55" s="126"/>
      <c r="B55" s="127"/>
      <c r="C55" s="127"/>
      <c r="D55" s="127"/>
      <c r="E55" s="127"/>
      <c r="F55" s="127"/>
      <c r="G55" s="127"/>
      <c r="H55" s="127"/>
      <c r="I55" s="127"/>
      <c r="J55" s="127"/>
      <c r="K55" s="127"/>
      <c r="L55" s="127"/>
      <c r="M55" s="127"/>
      <c r="N55" s="128"/>
    </row>
    <row r="56" spans="1:14" x14ac:dyDescent="0.2">
      <c r="A56" s="126"/>
      <c r="B56" s="127"/>
      <c r="C56" s="127"/>
      <c r="D56" s="127"/>
      <c r="E56" s="127"/>
      <c r="F56" s="127"/>
      <c r="G56" s="127"/>
      <c r="H56" s="127"/>
      <c r="I56" s="127"/>
      <c r="J56" s="127"/>
      <c r="K56" s="127"/>
      <c r="L56" s="127"/>
      <c r="M56" s="127"/>
      <c r="N56" s="128"/>
    </row>
    <row r="57" spans="1:14" x14ac:dyDescent="0.2">
      <c r="A57" s="126"/>
      <c r="B57" s="127"/>
      <c r="C57" s="127"/>
      <c r="D57" s="127"/>
      <c r="E57" s="127"/>
      <c r="F57" s="127"/>
      <c r="G57" s="127"/>
      <c r="H57" s="127"/>
      <c r="I57" s="127"/>
      <c r="J57" s="127"/>
      <c r="K57" s="127"/>
      <c r="L57" s="127"/>
      <c r="M57" s="127"/>
      <c r="N57" s="128"/>
    </row>
    <row r="58" spans="1:14" x14ac:dyDescent="0.2">
      <c r="A58" s="126"/>
      <c r="B58" s="127"/>
      <c r="C58" s="127"/>
      <c r="D58" s="127"/>
      <c r="E58" s="127"/>
      <c r="F58" s="127"/>
      <c r="G58" s="127"/>
      <c r="H58" s="127"/>
      <c r="I58" s="127"/>
      <c r="J58" s="127"/>
      <c r="K58" s="127"/>
      <c r="L58" s="127"/>
      <c r="M58" s="127"/>
      <c r="N58" s="128"/>
    </row>
    <row r="59" spans="1:14" x14ac:dyDescent="0.2">
      <c r="A59" s="126"/>
      <c r="B59" s="127"/>
      <c r="C59" s="127"/>
      <c r="D59" s="127"/>
      <c r="E59" s="127"/>
      <c r="F59" s="127"/>
      <c r="G59" s="127"/>
      <c r="H59" s="127"/>
      <c r="I59" s="127"/>
      <c r="J59" s="127"/>
      <c r="K59" s="127"/>
      <c r="L59" s="127"/>
      <c r="M59" s="127"/>
      <c r="N59" s="128"/>
    </row>
    <row r="60" spans="1:14" x14ac:dyDescent="0.2">
      <c r="A60" s="126"/>
      <c r="B60" s="127"/>
      <c r="C60" s="127"/>
      <c r="D60" s="127"/>
      <c r="E60" s="127"/>
      <c r="F60" s="127"/>
      <c r="G60" s="127"/>
      <c r="H60" s="127"/>
      <c r="I60" s="127"/>
      <c r="J60" s="127"/>
      <c r="K60" s="127"/>
      <c r="L60" s="127"/>
      <c r="M60" s="127"/>
      <c r="N60" s="128"/>
    </row>
    <row r="61" spans="1:14" x14ac:dyDescent="0.2">
      <c r="A61" s="126"/>
      <c r="B61" s="127"/>
      <c r="C61" s="127"/>
      <c r="D61" s="127"/>
      <c r="E61" s="127"/>
      <c r="F61" s="127"/>
      <c r="G61" s="127"/>
      <c r="H61" s="127"/>
      <c r="I61" s="127"/>
      <c r="J61" s="127"/>
      <c r="K61" s="127"/>
      <c r="L61" s="127"/>
      <c r="M61" s="127"/>
      <c r="N61" s="128"/>
    </row>
    <row r="62" spans="1:14" x14ac:dyDescent="0.2">
      <c r="A62" s="126"/>
      <c r="B62" s="127"/>
      <c r="C62" s="127"/>
      <c r="D62" s="127"/>
      <c r="E62" s="127"/>
      <c r="F62" s="127"/>
      <c r="G62" s="127"/>
      <c r="H62" s="127"/>
      <c r="I62" s="127"/>
      <c r="J62" s="127"/>
      <c r="K62" s="127"/>
      <c r="L62" s="127"/>
      <c r="M62" s="127"/>
      <c r="N62" s="128"/>
    </row>
    <row r="63" spans="1:14" x14ac:dyDescent="0.2">
      <c r="A63" s="126"/>
      <c r="B63" s="127"/>
      <c r="C63" s="127"/>
      <c r="D63" s="127"/>
      <c r="E63" s="127"/>
      <c r="F63" s="127"/>
      <c r="G63" s="127"/>
      <c r="H63" s="127"/>
      <c r="I63" s="127"/>
      <c r="J63" s="127"/>
      <c r="K63" s="127"/>
      <c r="L63" s="127"/>
      <c r="M63" s="127"/>
      <c r="N63" s="128"/>
    </row>
    <row r="64" spans="1:14" x14ac:dyDescent="0.2">
      <c r="A64" s="126"/>
      <c r="B64" s="127"/>
      <c r="C64" s="127"/>
      <c r="D64" s="127"/>
      <c r="E64" s="127"/>
      <c r="F64" s="127"/>
      <c r="G64" s="127"/>
      <c r="H64" s="127"/>
      <c r="I64" s="127"/>
      <c r="J64" s="127"/>
      <c r="K64" s="127"/>
      <c r="L64" s="127"/>
      <c r="M64" s="127"/>
      <c r="N64" s="128"/>
    </row>
    <row r="65" spans="1:14" x14ac:dyDescent="0.2">
      <c r="A65" s="126"/>
      <c r="B65" s="127"/>
      <c r="C65" s="127"/>
      <c r="D65" s="127"/>
      <c r="E65" s="127"/>
      <c r="F65" s="127"/>
      <c r="G65" s="127"/>
      <c r="H65" s="127"/>
      <c r="I65" s="127"/>
      <c r="J65" s="127"/>
      <c r="K65" s="127"/>
      <c r="L65" s="127"/>
      <c r="M65" s="127"/>
      <c r="N65" s="128"/>
    </row>
    <row r="66" spans="1:14" x14ac:dyDescent="0.2">
      <c r="A66" s="126"/>
      <c r="B66" s="127"/>
      <c r="C66" s="127"/>
      <c r="D66" s="127"/>
      <c r="E66" s="127"/>
      <c r="F66" s="127"/>
      <c r="G66" s="127"/>
      <c r="H66" s="127"/>
      <c r="I66" s="127"/>
      <c r="J66" s="127"/>
      <c r="K66" s="127"/>
      <c r="L66" s="127"/>
      <c r="M66" s="127"/>
      <c r="N66" s="128"/>
    </row>
    <row r="67" spans="1:14" x14ac:dyDescent="0.2">
      <c r="A67" s="126"/>
      <c r="B67" s="127"/>
      <c r="C67" s="127"/>
      <c r="D67" s="127"/>
      <c r="E67" s="127"/>
      <c r="F67" s="127"/>
      <c r="G67" s="127"/>
      <c r="H67" s="127"/>
      <c r="I67" s="127"/>
      <c r="J67" s="127"/>
      <c r="K67" s="127"/>
      <c r="L67" s="127"/>
      <c r="M67" s="127"/>
      <c r="N67" s="128"/>
    </row>
    <row r="68" spans="1:14" x14ac:dyDescent="0.2">
      <c r="A68" s="126"/>
      <c r="B68" s="127"/>
      <c r="C68" s="127"/>
      <c r="D68" s="127"/>
      <c r="E68" s="127"/>
      <c r="F68" s="127"/>
      <c r="G68" s="127"/>
      <c r="H68" s="127"/>
      <c r="I68" s="127"/>
      <c r="J68" s="127"/>
      <c r="K68" s="127"/>
      <c r="L68" s="127"/>
      <c r="M68" s="127"/>
      <c r="N68" s="128"/>
    </row>
    <row r="69" spans="1:14" x14ac:dyDescent="0.2">
      <c r="A69" s="126"/>
      <c r="B69" s="127"/>
      <c r="C69" s="127"/>
      <c r="D69" s="127"/>
      <c r="E69" s="127"/>
      <c r="F69" s="127"/>
      <c r="G69" s="127"/>
      <c r="H69" s="127"/>
      <c r="I69" s="127"/>
      <c r="J69" s="127"/>
      <c r="K69" s="127"/>
      <c r="L69" s="127"/>
      <c r="M69" s="127"/>
      <c r="N69" s="128"/>
    </row>
    <row r="70" spans="1:14" x14ac:dyDescent="0.2">
      <c r="A70" s="126"/>
      <c r="B70" s="127"/>
      <c r="C70" s="127"/>
      <c r="D70" s="127"/>
      <c r="E70" s="127"/>
      <c r="F70" s="127"/>
      <c r="G70" s="127"/>
      <c r="H70" s="127"/>
      <c r="I70" s="127"/>
      <c r="J70" s="127"/>
      <c r="K70" s="127"/>
      <c r="L70" s="127"/>
      <c r="M70" s="127"/>
      <c r="N70" s="128"/>
    </row>
    <row r="71" spans="1:14" x14ac:dyDescent="0.2">
      <c r="A71" s="126"/>
      <c r="B71" s="127"/>
      <c r="C71" s="127"/>
      <c r="D71" s="127"/>
      <c r="E71" s="127"/>
      <c r="F71" s="127"/>
      <c r="G71" s="127"/>
      <c r="H71" s="127"/>
      <c r="I71" s="127"/>
      <c r="J71" s="127"/>
      <c r="K71" s="127"/>
      <c r="L71" s="127"/>
      <c r="M71" s="127"/>
      <c r="N71" s="128"/>
    </row>
    <row r="72" spans="1:14" x14ac:dyDescent="0.2">
      <c r="A72" s="126"/>
      <c r="B72" s="127"/>
      <c r="C72" s="127"/>
      <c r="D72" s="127"/>
      <c r="E72" s="127"/>
      <c r="F72" s="127"/>
      <c r="G72" s="127"/>
      <c r="H72" s="127"/>
      <c r="I72" s="127"/>
      <c r="J72" s="127"/>
      <c r="K72" s="127"/>
      <c r="L72" s="127"/>
      <c r="M72" s="127"/>
      <c r="N72" s="128"/>
    </row>
    <row r="73" spans="1:14" x14ac:dyDescent="0.2">
      <c r="A73" s="126"/>
      <c r="B73" s="127"/>
      <c r="C73" s="127"/>
      <c r="D73" s="127"/>
      <c r="E73" s="127"/>
      <c r="F73" s="127"/>
      <c r="G73" s="127"/>
      <c r="H73" s="127"/>
      <c r="I73" s="127"/>
      <c r="J73" s="127"/>
      <c r="K73" s="127"/>
      <c r="L73" s="127"/>
      <c r="M73" s="127"/>
      <c r="N73" s="128"/>
    </row>
    <row r="74" spans="1:14" ht="16" thickBot="1" x14ac:dyDescent="0.25">
      <c r="A74" s="129"/>
      <c r="B74" s="130"/>
      <c r="C74" s="130"/>
      <c r="D74" s="130"/>
      <c r="E74" s="130"/>
      <c r="F74" s="130"/>
      <c r="G74" s="130"/>
      <c r="H74" s="130"/>
      <c r="I74" s="130"/>
      <c r="J74" s="130"/>
      <c r="K74" s="130"/>
      <c r="L74" s="130"/>
      <c r="M74" s="130"/>
      <c r="N74" s="131"/>
    </row>
    <row r="75" spans="1:14" x14ac:dyDescent="0.2">
      <c r="A75" s="1"/>
      <c r="B75" s="1"/>
      <c r="C75" s="1"/>
      <c r="D75" s="1"/>
      <c r="E75" s="1"/>
      <c r="F75" s="1"/>
      <c r="G75" s="1"/>
      <c r="H75" s="1"/>
      <c r="I75" s="1"/>
      <c r="J75" s="1"/>
      <c r="K75" s="1"/>
      <c r="L75" s="1"/>
      <c r="M75" s="1"/>
      <c r="N75" s="1"/>
    </row>
  </sheetData>
  <sheetProtection formatCells="0" formatColumns="0" formatRows="0" insertColumns="0" insertRows="0" insertHyperlinks="0" deleteColumns="0" deleteRows="0" sort="0" autoFilter="0" pivotTables="0"/>
  <mergeCells count="121">
    <mergeCell ref="A1:C3"/>
    <mergeCell ref="D1:K1"/>
    <mergeCell ref="M1:N1"/>
    <mergeCell ref="D2:K2"/>
    <mergeCell ref="L2:M2"/>
    <mergeCell ref="D3:K3"/>
    <mergeCell ref="L3:M3"/>
    <mergeCell ref="A6:B7"/>
    <mergeCell ref="C6:E7"/>
    <mergeCell ref="F6:G7"/>
    <mergeCell ref="I6:K6"/>
    <mergeCell ref="L6:N6"/>
    <mergeCell ref="I7:K7"/>
    <mergeCell ref="L7:N7"/>
    <mergeCell ref="A4:K4"/>
    <mergeCell ref="L4:N4"/>
    <mergeCell ref="A5:B5"/>
    <mergeCell ref="C5:E5"/>
    <mergeCell ref="F5:H5"/>
    <mergeCell ref="I5:K5"/>
    <mergeCell ref="L5:N5"/>
    <mergeCell ref="A10:N10"/>
    <mergeCell ref="A11:B11"/>
    <mergeCell ref="C11:D11"/>
    <mergeCell ref="E11:F11"/>
    <mergeCell ref="G11:I11"/>
    <mergeCell ref="J11:K11"/>
    <mergeCell ref="A8:B9"/>
    <mergeCell ref="C8:E9"/>
    <mergeCell ref="F8:G9"/>
    <mergeCell ref="I8:K8"/>
    <mergeCell ref="L8:N8"/>
    <mergeCell ref="I9:K9"/>
    <mergeCell ref="L9:N9"/>
    <mergeCell ref="A12:B12"/>
    <mergeCell ref="C12:D12"/>
    <mergeCell ref="E12:F12"/>
    <mergeCell ref="G12:I12"/>
    <mergeCell ref="J12:K12"/>
    <mergeCell ref="A13:B13"/>
    <mergeCell ref="C13:D13"/>
    <mergeCell ref="E13:F13"/>
    <mergeCell ref="G13:I13"/>
    <mergeCell ref="J13:K13"/>
    <mergeCell ref="A16:B16"/>
    <mergeCell ref="C16:D16"/>
    <mergeCell ref="E16:F16"/>
    <mergeCell ref="G16:I16"/>
    <mergeCell ref="J16:K16"/>
    <mergeCell ref="A17:N17"/>
    <mergeCell ref="A14:B14"/>
    <mergeCell ref="C14:D14"/>
    <mergeCell ref="E14:F14"/>
    <mergeCell ref="G14:I14"/>
    <mergeCell ref="J14:K14"/>
    <mergeCell ref="A15:B15"/>
    <mergeCell ref="C15:D15"/>
    <mergeCell ref="E15:F15"/>
    <mergeCell ref="G15:I15"/>
    <mergeCell ref="J15:K15"/>
    <mergeCell ref="A32:C33"/>
    <mergeCell ref="D32:F32"/>
    <mergeCell ref="G32:K32"/>
    <mergeCell ref="L32:L33"/>
    <mergeCell ref="M32:M33"/>
    <mergeCell ref="N32:N33"/>
    <mergeCell ref="J33:K33"/>
    <mergeCell ref="A18:N18"/>
    <mergeCell ref="A19:N19"/>
    <mergeCell ref="A20:N24"/>
    <mergeCell ref="A25:N25"/>
    <mergeCell ref="A26:N30"/>
    <mergeCell ref="A31:K31"/>
    <mergeCell ref="L31:N31"/>
    <mergeCell ref="A37:C37"/>
    <mergeCell ref="J37:K37"/>
    <mergeCell ref="A38:C38"/>
    <mergeCell ref="J38:K38"/>
    <mergeCell ref="A39:C39"/>
    <mergeCell ref="J39:K39"/>
    <mergeCell ref="A34:C34"/>
    <mergeCell ref="J34:K34"/>
    <mergeCell ref="A35:C35"/>
    <mergeCell ref="J35:K35"/>
    <mergeCell ref="A36:C36"/>
    <mergeCell ref="J36:K36"/>
    <mergeCell ref="A46:C46"/>
    <mergeCell ref="A47:C47"/>
    <mergeCell ref="A48:C48"/>
    <mergeCell ref="J48:K48"/>
    <mergeCell ref="A40:C40"/>
    <mergeCell ref="J40:K40"/>
    <mergeCell ref="A41:C41"/>
    <mergeCell ref="A42:C42"/>
    <mergeCell ref="J42:K42"/>
    <mergeCell ref="A43:C43"/>
    <mergeCell ref="J43:K43"/>
    <mergeCell ref="A53:N53"/>
    <mergeCell ref="A54:N74"/>
    <mergeCell ref="J41:K41"/>
    <mergeCell ref="J44:K44"/>
    <mergeCell ref="J45:K45"/>
    <mergeCell ref="J46:K46"/>
    <mergeCell ref="J47:K47"/>
    <mergeCell ref="A52:C52"/>
    <mergeCell ref="D52:F52"/>
    <mergeCell ref="G52:H52"/>
    <mergeCell ref="I52:J52"/>
    <mergeCell ref="K52:L52"/>
    <mergeCell ref="M52:N52"/>
    <mergeCell ref="A49:C49"/>
    <mergeCell ref="J49:K49"/>
    <mergeCell ref="A50:N50"/>
    <mergeCell ref="A51:C51"/>
    <mergeCell ref="D51:F51"/>
    <mergeCell ref="G51:H51"/>
    <mergeCell ref="I51:J51"/>
    <mergeCell ref="K51:L51"/>
    <mergeCell ref="M51:N51"/>
    <mergeCell ref="A44:C44"/>
    <mergeCell ref="A45:C45"/>
  </mergeCells>
  <conditionalFormatting sqref="D34:K41 F42:K47 D42:E49 F48:J48 F49:K49 G52:H52">
    <cfRule type="notContainsBlanks" dxfId="15" priority="3">
      <formula>LEN(TRIM(D34))&gt;0</formula>
    </cfRule>
  </conditionalFormatting>
  <conditionalFormatting sqref="I8:K9">
    <cfRule type="notContainsBlanks" dxfId="14" priority="1">
      <formula>LEN(TRIM(I8))&gt;0</formula>
    </cfRule>
  </conditionalFormatting>
  <conditionalFormatting sqref="M1:N1 D2:K3 N2:N3 I5:N7 C6:E9 L9:N9 C11:D16 G11:I16 A18:N18 A20:N24 A26:N30">
    <cfRule type="notContainsBlanks" dxfId="13" priority="2">
      <formula>LEN(TRIM(A1))&gt;0</formula>
    </cfRule>
  </conditionalFormatting>
  <dataValidations count="4">
    <dataValidation allowBlank="1" showInputMessage="1" showErrorMessage="1" prompt="Well Name Here" sqref="D2:K2" xr:uid="{5833706E-129F-449E-872F-34BCC5CEE7A3}"/>
    <dataValidation allowBlank="1" showInputMessage="1" showErrorMessage="1" prompt="UWI Here" sqref="D3:K3" xr:uid="{3D571922-AF35-48F8-884B-34BA5A4D8C23}"/>
    <dataValidation allowBlank="1" showInputMessage="1" showErrorMessage="1" prompt="Insert any additional comments &amp; photos if necessary " sqref="A54:N74" xr:uid="{8A900C62-B96C-46F9-8B29-53F8F77597EB}"/>
    <dataValidation type="list" allowBlank="1" showInputMessage="1" showErrorMessage="1" sqref="G15:I16" xr:uid="{240A7A91-CA4D-4A95-A10E-D0E6C413F8E7}">
      <formula1>$A$34:$A$49</formula1>
    </dataValidation>
  </dataValidations>
  <pageMargins left="0.7" right="0.7" top="0.75" bottom="0.75" header="0.3" footer="0.3"/>
  <pageSetup scale="5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541C-14A1-449C-8AC5-6077C7CE3239}">
  <sheetPr>
    <pageSetUpPr fitToPage="1"/>
  </sheetPr>
  <dimension ref="A1:N75"/>
  <sheetViews>
    <sheetView zoomScaleNormal="100" workbookViewId="0">
      <selection activeCell="N3" sqref="N3"/>
    </sheetView>
  </sheetViews>
  <sheetFormatPr baseColWidth="10" defaultColWidth="8.83203125" defaultRowHeight="15" x14ac:dyDescent="0.2"/>
  <cols>
    <col min="1" max="3" width="10.6640625" customWidth="1"/>
    <col min="4" max="4" width="12" customWidth="1"/>
    <col min="5" max="13" width="10.6640625" customWidth="1"/>
    <col min="14" max="14" width="13.5" customWidth="1"/>
  </cols>
  <sheetData>
    <row r="1" spans="1:14" ht="22" x14ac:dyDescent="0.3">
      <c r="A1" s="34"/>
      <c r="B1" s="35"/>
      <c r="C1" s="35"/>
      <c r="D1" s="38" t="s">
        <v>0</v>
      </c>
      <c r="E1" s="39"/>
      <c r="F1" s="39"/>
      <c r="G1" s="39"/>
      <c r="H1" s="39"/>
      <c r="I1" s="39"/>
      <c r="J1" s="39"/>
      <c r="K1" s="40"/>
      <c r="L1" s="4" t="s">
        <v>7</v>
      </c>
      <c r="M1" s="41" t="s">
        <v>103</v>
      </c>
      <c r="N1" s="42"/>
    </row>
    <row r="2" spans="1:14" ht="21" customHeight="1" x14ac:dyDescent="0.3">
      <c r="A2" s="36"/>
      <c r="B2" s="37"/>
      <c r="C2" s="37"/>
      <c r="D2" s="43" t="s">
        <v>79</v>
      </c>
      <c r="E2" s="44"/>
      <c r="F2" s="44"/>
      <c r="G2" s="44"/>
      <c r="H2" s="44"/>
      <c r="I2" s="44"/>
      <c r="J2" s="44"/>
      <c r="K2" s="45"/>
      <c r="L2" s="46" t="s">
        <v>1</v>
      </c>
      <c r="M2" s="47"/>
      <c r="N2" s="21">
        <v>3</v>
      </c>
    </row>
    <row r="3" spans="1:14" ht="24.75" customHeight="1" thickBot="1" x14ac:dyDescent="0.35">
      <c r="A3" s="36"/>
      <c r="B3" s="37"/>
      <c r="C3" s="37"/>
      <c r="D3" s="48" t="s">
        <v>80</v>
      </c>
      <c r="E3" s="49"/>
      <c r="F3" s="49"/>
      <c r="G3" s="49"/>
      <c r="H3" s="49"/>
      <c r="I3" s="49"/>
      <c r="J3" s="49"/>
      <c r="K3" s="50"/>
      <c r="L3" s="51" t="s">
        <v>54</v>
      </c>
      <c r="M3" s="52"/>
      <c r="N3" s="22">
        <v>0</v>
      </c>
    </row>
    <row r="4" spans="1:14" x14ac:dyDescent="0.2">
      <c r="A4" s="63" t="s">
        <v>2</v>
      </c>
      <c r="B4" s="64"/>
      <c r="C4" s="64"/>
      <c r="D4" s="64"/>
      <c r="E4" s="64"/>
      <c r="F4" s="64"/>
      <c r="G4" s="64"/>
      <c r="H4" s="64"/>
      <c r="I4" s="64"/>
      <c r="J4" s="64"/>
      <c r="K4" s="64"/>
      <c r="L4" s="64" t="s">
        <v>60</v>
      </c>
      <c r="M4" s="64"/>
      <c r="N4" s="65"/>
    </row>
    <row r="5" spans="1:14" x14ac:dyDescent="0.2">
      <c r="A5" s="66" t="s">
        <v>3</v>
      </c>
      <c r="B5" s="67"/>
      <c r="C5" s="68" t="s">
        <v>4</v>
      </c>
      <c r="D5" s="68"/>
      <c r="E5" s="68"/>
      <c r="F5" s="69" t="s">
        <v>5</v>
      </c>
      <c r="G5" s="69"/>
      <c r="H5" s="69"/>
      <c r="I5" s="60" t="s">
        <v>75</v>
      </c>
      <c r="J5" s="60"/>
      <c r="K5" s="60"/>
      <c r="L5" s="60" t="s">
        <v>76</v>
      </c>
      <c r="M5" s="60"/>
      <c r="N5" s="62"/>
    </row>
    <row r="6" spans="1:14" x14ac:dyDescent="0.2">
      <c r="A6" s="56" t="s">
        <v>8</v>
      </c>
      <c r="B6" s="57"/>
      <c r="C6" s="58" t="s">
        <v>64</v>
      </c>
      <c r="D6" s="58"/>
      <c r="E6" s="58"/>
      <c r="F6" s="59" t="s">
        <v>6</v>
      </c>
      <c r="G6" s="59"/>
      <c r="H6" s="6" t="s">
        <v>11</v>
      </c>
      <c r="I6" s="60" t="s">
        <v>65</v>
      </c>
      <c r="J6" s="60"/>
      <c r="K6" s="60"/>
      <c r="L6" s="60" t="s">
        <v>73</v>
      </c>
      <c r="M6" s="60"/>
      <c r="N6" s="62"/>
    </row>
    <row r="7" spans="1:14" x14ac:dyDescent="0.2">
      <c r="A7" s="56"/>
      <c r="B7" s="57"/>
      <c r="C7" s="58"/>
      <c r="D7" s="58"/>
      <c r="E7" s="58"/>
      <c r="F7" s="59"/>
      <c r="G7" s="59"/>
      <c r="H7" s="6" t="s">
        <v>12</v>
      </c>
      <c r="I7" s="60" t="s">
        <v>66</v>
      </c>
      <c r="J7" s="60"/>
      <c r="K7" s="60"/>
      <c r="L7" s="60" t="s">
        <v>74</v>
      </c>
      <c r="M7" s="60"/>
      <c r="N7" s="62"/>
    </row>
    <row r="8" spans="1:14" x14ac:dyDescent="0.2">
      <c r="A8" s="82" t="s">
        <v>9</v>
      </c>
      <c r="B8" s="59"/>
      <c r="C8" s="58" t="s">
        <v>97</v>
      </c>
      <c r="D8" s="58"/>
      <c r="E8" s="58"/>
      <c r="F8" s="59" t="s">
        <v>10</v>
      </c>
      <c r="G8" s="59"/>
      <c r="H8" s="2" t="s">
        <v>11</v>
      </c>
      <c r="I8" s="60" t="s">
        <v>67</v>
      </c>
      <c r="J8" s="60"/>
      <c r="K8" s="60"/>
      <c r="L8" s="73" t="s">
        <v>53</v>
      </c>
      <c r="M8" s="74"/>
      <c r="N8" s="75"/>
    </row>
    <row r="9" spans="1:14" x14ac:dyDescent="0.2">
      <c r="A9" s="82"/>
      <c r="B9" s="59"/>
      <c r="C9" s="58"/>
      <c r="D9" s="58"/>
      <c r="E9" s="58"/>
      <c r="F9" s="59"/>
      <c r="G9" s="59"/>
      <c r="H9" s="2" t="s">
        <v>12</v>
      </c>
      <c r="I9" s="60" t="s">
        <v>81</v>
      </c>
      <c r="J9" s="60"/>
      <c r="K9" s="60"/>
      <c r="L9" s="58" t="s">
        <v>72</v>
      </c>
      <c r="M9" s="58"/>
      <c r="N9" s="77"/>
    </row>
    <row r="10" spans="1:14" x14ac:dyDescent="0.2">
      <c r="A10" s="70" t="s">
        <v>33</v>
      </c>
      <c r="B10" s="71"/>
      <c r="C10" s="71"/>
      <c r="D10" s="71"/>
      <c r="E10" s="71"/>
      <c r="F10" s="71"/>
      <c r="G10" s="71"/>
      <c r="H10" s="71"/>
      <c r="I10" s="71"/>
      <c r="J10" s="71"/>
      <c r="K10" s="71"/>
      <c r="L10" s="71"/>
      <c r="M10" s="71"/>
      <c r="N10" s="72"/>
    </row>
    <row r="11" spans="1:14" x14ac:dyDescent="0.2">
      <c r="A11" s="66" t="s">
        <v>13</v>
      </c>
      <c r="B11" s="67"/>
      <c r="C11" s="61" t="s">
        <v>82</v>
      </c>
      <c r="D11" s="60"/>
      <c r="E11" s="67" t="s">
        <v>61</v>
      </c>
      <c r="F11" s="67"/>
      <c r="G11" s="78">
        <v>150</v>
      </c>
      <c r="H11" s="78"/>
      <c r="I11" s="78"/>
      <c r="J11" s="69" t="s">
        <v>29</v>
      </c>
      <c r="K11" s="81"/>
      <c r="L11" s="3" t="s">
        <v>30</v>
      </c>
      <c r="M11" s="3" t="s">
        <v>31</v>
      </c>
      <c r="N11" s="5" t="s">
        <v>32</v>
      </c>
    </row>
    <row r="12" spans="1:14" x14ac:dyDescent="0.2">
      <c r="A12" s="66" t="s">
        <v>14</v>
      </c>
      <c r="B12" s="67"/>
      <c r="C12" s="60" t="s">
        <v>106</v>
      </c>
      <c r="D12" s="60"/>
      <c r="E12" s="67" t="s">
        <v>19</v>
      </c>
      <c r="F12" s="67"/>
      <c r="G12" s="78">
        <v>150</v>
      </c>
      <c r="H12" s="78"/>
      <c r="I12" s="78"/>
      <c r="J12" s="67" t="s">
        <v>24</v>
      </c>
      <c r="K12" s="67"/>
      <c r="L12" s="20">
        <v>311</v>
      </c>
      <c r="M12" s="20"/>
      <c r="N12" s="9" t="s">
        <v>77</v>
      </c>
    </row>
    <row r="13" spans="1:14" x14ac:dyDescent="0.2">
      <c r="A13" s="66" t="s">
        <v>15</v>
      </c>
      <c r="B13" s="67"/>
      <c r="C13" s="79">
        <v>46042</v>
      </c>
      <c r="D13" s="80"/>
      <c r="E13" s="67" t="s">
        <v>20</v>
      </c>
      <c r="F13" s="67"/>
      <c r="G13" s="60">
        <v>5</v>
      </c>
      <c r="H13" s="60"/>
      <c r="I13" s="60"/>
      <c r="J13" s="67" t="s">
        <v>25</v>
      </c>
      <c r="K13" s="67"/>
      <c r="L13" s="20">
        <v>224.5</v>
      </c>
      <c r="M13" s="20"/>
      <c r="N13" s="9" t="s">
        <v>77</v>
      </c>
    </row>
    <row r="14" spans="1:14" x14ac:dyDescent="0.2">
      <c r="A14" s="66" t="s">
        <v>16</v>
      </c>
      <c r="B14" s="67"/>
      <c r="C14" s="78">
        <v>4.76</v>
      </c>
      <c r="D14" s="78"/>
      <c r="E14" s="67" t="s">
        <v>21</v>
      </c>
      <c r="F14" s="67"/>
      <c r="G14" s="86">
        <v>30</v>
      </c>
      <c r="H14" s="86"/>
      <c r="I14" s="86"/>
      <c r="J14" s="67" t="s">
        <v>26</v>
      </c>
      <c r="K14" s="67"/>
      <c r="L14" s="20">
        <v>222</v>
      </c>
      <c r="M14" s="20"/>
      <c r="N14" s="9" t="s">
        <v>78</v>
      </c>
    </row>
    <row r="15" spans="1:14" x14ac:dyDescent="0.2">
      <c r="A15" s="66" t="s">
        <v>17</v>
      </c>
      <c r="B15" s="67"/>
      <c r="C15" s="78">
        <v>687.18</v>
      </c>
      <c r="D15" s="78"/>
      <c r="E15" s="67" t="s">
        <v>22</v>
      </c>
      <c r="F15" s="67"/>
      <c r="G15" s="60"/>
      <c r="H15" s="60"/>
      <c r="I15" s="60"/>
      <c r="J15" s="67" t="s">
        <v>27</v>
      </c>
      <c r="K15" s="67"/>
      <c r="L15" s="20">
        <v>164</v>
      </c>
      <c r="M15" s="20"/>
      <c r="N15" s="9" t="s">
        <v>78</v>
      </c>
    </row>
    <row r="16" spans="1:14" x14ac:dyDescent="0.2">
      <c r="A16" s="66" t="s">
        <v>18</v>
      </c>
      <c r="B16" s="67"/>
      <c r="C16" s="78">
        <v>691.94</v>
      </c>
      <c r="D16" s="78"/>
      <c r="E16" s="67" t="s">
        <v>23</v>
      </c>
      <c r="F16" s="67"/>
      <c r="G16" s="60" t="s">
        <v>38</v>
      </c>
      <c r="H16" s="60"/>
      <c r="I16" s="60"/>
      <c r="J16" s="67" t="s">
        <v>28</v>
      </c>
      <c r="K16" s="67"/>
      <c r="L16" s="20">
        <v>159</v>
      </c>
      <c r="M16" s="20"/>
      <c r="N16" s="9" t="s">
        <v>78</v>
      </c>
    </row>
    <row r="17" spans="1:14" ht="16" thickBot="1" x14ac:dyDescent="0.25">
      <c r="A17" s="83" t="s">
        <v>55</v>
      </c>
      <c r="B17" s="84"/>
      <c r="C17" s="84"/>
      <c r="D17" s="84"/>
      <c r="E17" s="84"/>
      <c r="F17" s="84"/>
      <c r="G17" s="84"/>
      <c r="H17" s="84"/>
      <c r="I17" s="84"/>
      <c r="J17" s="84"/>
      <c r="K17" s="84"/>
      <c r="L17" s="84"/>
      <c r="M17" s="84"/>
      <c r="N17" s="85"/>
    </row>
    <row r="18" spans="1:14" ht="16" thickBot="1" x14ac:dyDescent="0.25">
      <c r="A18" s="95" t="s">
        <v>109</v>
      </c>
      <c r="B18" s="96"/>
      <c r="C18" s="96"/>
      <c r="D18" s="96"/>
      <c r="E18" s="96"/>
      <c r="F18" s="96"/>
      <c r="G18" s="96"/>
      <c r="H18" s="96"/>
      <c r="I18" s="96"/>
      <c r="J18" s="96"/>
      <c r="K18" s="96"/>
      <c r="L18" s="96"/>
      <c r="M18" s="96"/>
      <c r="N18" s="97"/>
    </row>
    <row r="19" spans="1:14" ht="16" thickBot="1" x14ac:dyDescent="0.25">
      <c r="A19" s="98" t="s">
        <v>34</v>
      </c>
      <c r="B19" s="99"/>
      <c r="C19" s="99"/>
      <c r="D19" s="99"/>
      <c r="E19" s="99"/>
      <c r="F19" s="99"/>
      <c r="G19" s="99"/>
      <c r="H19" s="99"/>
      <c r="I19" s="99"/>
      <c r="J19" s="99"/>
      <c r="K19" s="99"/>
      <c r="L19" s="99"/>
      <c r="M19" s="99"/>
      <c r="N19" s="100"/>
    </row>
    <row r="20" spans="1:14" x14ac:dyDescent="0.2">
      <c r="A20" s="101" t="s">
        <v>108</v>
      </c>
      <c r="B20" s="102"/>
      <c r="C20" s="102"/>
      <c r="D20" s="102"/>
      <c r="E20" s="102"/>
      <c r="F20" s="102"/>
      <c r="G20" s="102"/>
      <c r="H20" s="102"/>
      <c r="I20" s="102"/>
      <c r="J20" s="102"/>
      <c r="K20" s="102"/>
      <c r="L20" s="102"/>
      <c r="M20" s="102"/>
      <c r="N20" s="103"/>
    </row>
    <row r="21" spans="1:14" x14ac:dyDescent="0.2">
      <c r="A21" s="104"/>
      <c r="B21" s="105"/>
      <c r="C21" s="105"/>
      <c r="D21" s="105"/>
      <c r="E21" s="105"/>
      <c r="F21" s="105"/>
      <c r="G21" s="105"/>
      <c r="H21" s="105"/>
      <c r="I21" s="105"/>
      <c r="J21" s="105"/>
      <c r="K21" s="105"/>
      <c r="L21" s="105"/>
      <c r="M21" s="105"/>
      <c r="N21" s="106"/>
    </row>
    <row r="22" spans="1:14" x14ac:dyDescent="0.2">
      <c r="A22" s="104"/>
      <c r="B22" s="105"/>
      <c r="C22" s="105"/>
      <c r="D22" s="105"/>
      <c r="E22" s="105"/>
      <c r="F22" s="105"/>
      <c r="G22" s="105"/>
      <c r="H22" s="105"/>
      <c r="I22" s="105"/>
      <c r="J22" s="105"/>
      <c r="K22" s="105"/>
      <c r="L22" s="105"/>
      <c r="M22" s="105"/>
      <c r="N22" s="106"/>
    </row>
    <row r="23" spans="1:14" x14ac:dyDescent="0.2">
      <c r="A23" s="104"/>
      <c r="B23" s="105"/>
      <c r="C23" s="105"/>
      <c r="D23" s="105"/>
      <c r="E23" s="105"/>
      <c r="F23" s="105"/>
      <c r="G23" s="105"/>
      <c r="H23" s="105"/>
      <c r="I23" s="105"/>
      <c r="J23" s="105"/>
      <c r="K23" s="105"/>
      <c r="L23" s="105"/>
      <c r="M23" s="105"/>
      <c r="N23" s="106"/>
    </row>
    <row r="24" spans="1:14" ht="16" thickBot="1" x14ac:dyDescent="0.25">
      <c r="A24" s="107"/>
      <c r="B24" s="108"/>
      <c r="C24" s="108"/>
      <c r="D24" s="108"/>
      <c r="E24" s="108"/>
      <c r="F24" s="108"/>
      <c r="G24" s="108"/>
      <c r="H24" s="108"/>
      <c r="I24" s="108"/>
      <c r="J24" s="108"/>
      <c r="K24" s="108"/>
      <c r="L24" s="108"/>
      <c r="M24" s="108"/>
      <c r="N24" s="109"/>
    </row>
    <row r="25" spans="1:14" ht="16" thickBot="1" x14ac:dyDescent="0.25">
      <c r="A25" s="98" t="s">
        <v>35</v>
      </c>
      <c r="B25" s="99"/>
      <c r="C25" s="99"/>
      <c r="D25" s="99"/>
      <c r="E25" s="99"/>
      <c r="F25" s="99"/>
      <c r="G25" s="99"/>
      <c r="H25" s="99"/>
      <c r="I25" s="99"/>
      <c r="J25" s="99"/>
      <c r="K25" s="99"/>
      <c r="L25" s="99"/>
      <c r="M25" s="99"/>
      <c r="N25" s="100"/>
    </row>
    <row r="26" spans="1:14" x14ac:dyDescent="0.2">
      <c r="A26" s="101" t="s">
        <v>107</v>
      </c>
      <c r="B26" s="102"/>
      <c r="C26" s="102"/>
      <c r="D26" s="102"/>
      <c r="E26" s="102"/>
      <c r="F26" s="102"/>
      <c r="G26" s="102"/>
      <c r="H26" s="102"/>
      <c r="I26" s="102"/>
      <c r="J26" s="102"/>
      <c r="K26" s="102"/>
      <c r="L26" s="102"/>
      <c r="M26" s="102"/>
      <c r="N26" s="103"/>
    </row>
    <row r="27" spans="1:14" x14ac:dyDescent="0.2">
      <c r="A27" s="104"/>
      <c r="B27" s="105"/>
      <c r="C27" s="105"/>
      <c r="D27" s="105"/>
      <c r="E27" s="105"/>
      <c r="F27" s="105"/>
      <c r="G27" s="105"/>
      <c r="H27" s="105"/>
      <c r="I27" s="105"/>
      <c r="J27" s="105"/>
      <c r="K27" s="105"/>
      <c r="L27" s="105"/>
      <c r="M27" s="105"/>
      <c r="N27" s="106"/>
    </row>
    <row r="28" spans="1:14" x14ac:dyDescent="0.2">
      <c r="A28" s="104"/>
      <c r="B28" s="105"/>
      <c r="C28" s="105"/>
      <c r="D28" s="105"/>
      <c r="E28" s="105"/>
      <c r="F28" s="105"/>
      <c r="G28" s="105"/>
      <c r="H28" s="105"/>
      <c r="I28" s="105"/>
      <c r="J28" s="105"/>
      <c r="K28" s="105"/>
      <c r="L28" s="105"/>
      <c r="M28" s="105"/>
      <c r="N28" s="106"/>
    </row>
    <row r="29" spans="1:14" x14ac:dyDescent="0.2">
      <c r="A29" s="104"/>
      <c r="B29" s="105"/>
      <c r="C29" s="105"/>
      <c r="D29" s="105"/>
      <c r="E29" s="105"/>
      <c r="F29" s="105"/>
      <c r="G29" s="105"/>
      <c r="H29" s="105"/>
      <c r="I29" s="105"/>
      <c r="J29" s="105"/>
      <c r="K29" s="105"/>
      <c r="L29" s="105"/>
      <c r="M29" s="105"/>
      <c r="N29" s="106"/>
    </row>
    <row r="30" spans="1:14" ht="16" thickBot="1" x14ac:dyDescent="0.25">
      <c r="A30" s="107"/>
      <c r="B30" s="108"/>
      <c r="C30" s="108"/>
      <c r="D30" s="108"/>
      <c r="E30" s="108"/>
      <c r="F30" s="108"/>
      <c r="G30" s="108"/>
      <c r="H30" s="108"/>
      <c r="I30" s="108"/>
      <c r="J30" s="108"/>
      <c r="K30" s="108"/>
      <c r="L30" s="108"/>
      <c r="M30" s="108"/>
      <c r="N30" s="109"/>
    </row>
    <row r="31" spans="1:14" ht="16" thickBot="1" x14ac:dyDescent="0.25">
      <c r="A31" s="98" t="s">
        <v>36</v>
      </c>
      <c r="B31" s="99"/>
      <c r="C31" s="99"/>
      <c r="D31" s="99"/>
      <c r="E31" s="99"/>
      <c r="F31" s="99"/>
      <c r="G31" s="99"/>
      <c r="H31" s="99"/>
      <c r="I31" s="99"/>
      <c r="J31" s="99"/>
      <c r="K31" s="100"/>
      <c r="L31" s="98" t="s">
        <v>56</v>
      </c>
      <c r="M31" s="99"/>
      <c r="N31" s="100"/>
    </row>
    <row r="32" spans="1:14" x14ac:dyDescent="0.2">
      <c r="A32" s="116" t="s">
        <v>45</v>
      </c>
      <c r="B32" s="117"/>
      <c r="C32" s="118"/>
      <c r="D32" s="122" t="s">
        <v>39</v>
      </c>
      <c r="E32" s="122"/>
      <c r="F32" s="122"/>
      <c r="G32" s="123" t="s">
        <v>42</v>
      </c>
      <c r="H32" s="124"/>
      <c r="I32" s="124"/>
      <c r="J32" s="124"/>
      <c r="K32" s="125"/>
      <c r="L32" s="87" t="s">
        <v>62</v>
      </c>
      <c r="M32" s="89" t="s">
        <v>59</v>
      </c>
      <c r="N32" s="91" t="s">
        <v>57</v>
      </c>
    </row>
    <row r="33" spans="1:14" x14ac:dyDescent="0.2">
      <c r="A33" s="119"/>
      <c r="B33" s="120"/>
      <c r="C33" s="121"/>
      <c r="D33" s="3" t="s">
        <v>41</v>
      </c>
      <c r="E33" s="3" t="s">
        <v>43</v>
      </c>
      <c r="F33" s="3" t="s">
        <v>63</v>
      </c>
      <c r="G33" s="3" t="s">
        <v>41</v>
      </c>
      <c r="H33" s="3" t="s">
        <v>40</v>
      </c>
      <c r="I33" s="3" t="s">
        <v>63</v>
      </c>
      <c r="J33" s="93" t="s">
        <v>44</v>
      </c>
      <c r="K33" s="94"/>
      <c r="L33" s="88"/>
      <c r="M33" s="90"/>
      <c r="N33" s="92"/>
    </row>
    <row r="34" spans="1:14" x14ac:dyDescent="0.2">
      <c r="A34" s="110" t="s">
        <v>68</v>
      </c>
      <c r="B34" s="111"/>
      <c r="C34" s="112"/>
      <c r="D34" s="14">
        <v>418.24000000000007</v>
      </c>
      <c r="E34" s="15">
        <f>IF(F34="","",C$16-F34)</f>
        <v>418.24000000000007</v>
      </c>
      <c r="F34" s="14">
        <v>273.7</v>
      </c>
      <c r="G34" s="16"/>
      <c r="H34" s="16"/>
      <c r="I34" s="15" t="str">
        <f>IF(H34="","",C$14-H34)</f>
        <v/>
      </c>
      <c r="J34" s="32" t="str">
        <f>IF(OR(H34="",F34=""),"",E34-H34)</f>
        <v/>
      </c>
      <c r="K34" s="33"/>
      <c r="L34" s="10"/>
      <c r="M34" s="7"/>
      <c r="N34" s="11"/>
    </row>
    <row r="35" spans="1:14" x14ac:dyDescent="0.2">
      <c r="A35" s="113" t="s">
        <v>25</v>
      </c>
      <c r="B35" s="114"/>
      <c r="C35" s="115"/>
      <c r="D35" s="14">
        <v>428.24000000000007</v>
      </c>
      <c r="E35" s="15">
        <f t="shared" ref="E35:E49" si="0">IF(F35="","",C$16-F35)</f>
        <v>428.24000000000007</v>
      </c>
      <c r="F35" s="14">
        <v>263.7</v>
      </c>
      <c r="G35" s="16"/>
      <c r="H35" s="16"/>
      <c r="I35" s="15" t="str">
        <f t="shared" ref="I35:I49" si="1">IF(H35="","",C$14-H35)</f>
        <v/>
      </c>
      <c r="J35" s="32" t="str">
        <f t="shared" ref="J35:J49" si="2">IF(OR(H35="",F35=""),"",E35-H35)</f>
        <v/>
      </c>
      <c r="K35" s="33"/>
      <c r="L35" s="10"/>
      <c r="M35" s="7"/>
      <c r="N35" s="11"/>
    </row>
    <row r="36" spans="1:14" x14ac:dyDescent="0.2">
      <c r="A36" s="110" t="s">
        <v>70</v>
      </c>
      <c r="B36" s="111"/>
      <c r="C36" s="112"/>
      <c r="D36" s="14">
        <v>461.67000000000007</v>
      </c>
      <c r="E36" s="15">
        <f t="shared" si="0"/>
        <v>461.67000000000007</v>
      </c>
      <c r="F36" s="14">
        <v>230.27</v>
      </c>
      <c r="G36" s="16"/>
      <c r="H36" s="16"/>
      <c r="I36" s="15" t="str">
        <f t="shared" si="1"/>
        <v/>
      </c>
      <c r="J36" s="32" t="str">
        <f t="shared" si="2"/>
        <v/>
      </c>
      <c r="K36" s="33"/>
      <c r="L36" s="10"/>
      <c r="M36" s="7"/>
      <c r="N36" s="11"/>
    </row>
    <row r="37" spans="1:14" x14ac:dyDescent="0.2">
      <c r="A37" s="110" t="s">
        <v>69</v>
      </c>
      <c r="B37" s="111"/>
      <c r="C37" s="112"/>
      <c r="D37" s="14">
        <v>496.44000000000005</v>
      </c>
      <c r="E37" s="15">
        <f t="shared" si="0"/>
        <v>496.44000000000005</v>
      </c>
      <c r="F37" s="14">
        <v>195.5</v>
      </c>
      <c r="G37" s="16"/>
      <c r="H37" s="16"/>
      <c r="I37" s="15" t="str">
        <f t="shared" si="1"/>
        <v/>
      </c>
      <c r="J37" s="32" t="str">
        <f t="shared" si="2"/>
        <v/>
      </c>
      <c r="K37" s="33"/>
      <c r="L37" s="10"/>
      <c r="M37" s="7"/>
      <c r="N37" s="11"/>
    </row>
    <row r="38" spans="1:14" x14ac:dyDescent="0.2">
      <c r="A38" s="110" t="s">
        <v>71</v>
      </c>
      <c r="B38" s="111"/>
      <c r="C38" s="112"/>
      <c r="D38" s="14">
        <v>532.94000000000005</v>
      </c>
      <c r="E38" s="15">
        <f t="shared" si="0"/>
        <v>532.94000000000005</v>
      </c>
      <c r="F38" s="14">
        <v>159</v>
      </c>
      <c r="G38" s="16"/>
      <c r="H38" s="16"/>
      <c r="I38" s="15" t="str">
        <f t="shared" si="1"/>
        <v/>
      </c>
      <c r="J38" s="32" t="str">
        <f t="shared" si="2"/>
        <v/>
      </c>
      <c r="K38" s="33"/>
      <c r="L38" s="10"/>
      <c r="M38" s="7"/>
      <c r="N38" s="11"/>
    </row>
    <row r="39" spans="1:14" x14ac:dyDescent="0.2">
      <c r="A39" s="110" t="s">
        <v>84</v>
      </c>
      <c r="B39" s="111"/>
      <c r="C39" s="112"/>
      <c r="D39" s="14">
        <v>649.32000000000005</v>
      </c>
      <c r="E39" s="15">
        <f t="shared" si="0"/>
        <v>649.32000000000005</v>
      </c>
      <c r="F39" s="14">
        <v>42.620000000000005</v>
      </c>
      <c r="G39" s="16"/>
      <c r="H39" s="16"/>
      <c r="I39" s="15" t="str">
        <f t="shared" si="1"/>
        <v/>
      </c>
      <c r="J39" s="32" t="str">
        <f t="shared" si="2"/>
        <v/>
      </c>
      <c r="K39" s="33"/>
      <c r="L39" s="10"/>
      <c r="M39" s="7"/>
      <c r="N39" s="11"/>
    </row>
    <row r="40" spans="1:14" x14ac:dyDescent="0.2">
      <c r="A40" s="110" t="s">
        <v>85</v>
      </c>
      <c r="B40" s="111"/>
      <c r="C40" s="112"/>
      <c r="D40" s="14">
        <v>834.32</v>
      </c>
      <c r="E40" s="15">
        <f t="shared" si="0"/>
        <v>834.32</v>
      </c>
      <c r="F40" s="14">
        <v>-142.38</v>
      </c>
      <c r="G40" s="16"/>
      <c r="H40" s="16"/>
      <c r="I40" s="15" t="str">
        <f t="shared" si="1"/>
        <v/>
      </c>
      <c r="J40" s="32" t="str">
        <f t="shared" si="2"/>
        <v/>
      </c>
      <c r="K40" s="33"/>
      <c r="L40" s="10"/>
      <c r="M40" s="7"/>
      <c r="N40" s="11"/>
    </row>
    <row r="41" spans="1:14" x14ac:dyDescent="0.2">
      <c r="A41" s="110" t="s">
        <v>86</v>
      </c>
      <c r="B41" s="111"/>
      <c r="C41" s="112"/>
      <c r="D41" s="14">
        <v>838.32</v>
      </c>
      <c r="E41" s="15">
        <f t="shared" si="0"/>
        <v>838.32</v>
      </c>
      <c r="F41" s="14">
        <v>-146.38</v>
      </c>
      <c r="G41" s="16"/>
      <c r="H41" s="16"/>
      <c r="I41" s="15"/>
      <c r="J41" s="32" t="str">
        <f t="shared" ref="J41" si="3">IF(OR(H41="",F41=""),"",E41-H41)</f>
        <v/>
      </c>
      <c r="K41" s="33"/>
      <c r="L41" s="10"/>
      <c r="M41" s="7"/>
      <c r="N41" s="11"/>
    </row>
    <row r="42" spans="1:14" x14ac:dyDescent="0.2">
      <c r="A42" s="110" t="s">
        <v>87</v>
      </c>
      <c r="B42" s="111"/>
      <c r="C42" s="112"/>
      <c r="D42" s="14">
        <v>859.94</v>
      </c>
      <c r="E42" s="15">
        <f>IF(F42="","",C$16-F42)</f>
        <v>859.94</v>
      </c>
      <c r="F42" s="14">
        <v>-168</v>
      </c>
      <c r="G42" s="16"/>
      <c r="H42" s="16"/>
      <c r="I42" s="15" t="str">
        <f t="shared" si="1"/>
        <v/>
      </c>
      <c r="J42" s="32" t="str">
        <f t="shared" si="2"/>
        <v/>
      </c>
      <c r="K42" s="33"/>
      <c r="L42" s="10"/>
      <c r="M42" s="7"/>
      <c r="N42" s="11"/>
    </row>
    <row r="43" spans="1:14" x14ac:dyDescent="0.2">
      <c r="A43" s="110" t="s">
        <v>88</v>
      </c>
      <c r="B43" s="111"/>
      <c r="C43" s="112"/>
      <c r="D43" s="23">
        <v>868.94</v>
      </c>
      <c r="E43" s="15">
        <f t="shared" si="0"/>
        <v>868.94</v>
      </c>
      <c r="F43" s="23">
        <v>-177</v>
      </c>
      <c r="G43" s="24"/>
      <c r="H43" s="24"/>
      <c r="I43" s="15" t="str">
        <f t="shared" si="1"/>
        <v/>
      </c>
      <c r="J43" s="32" t="str">
        <f t="shared" si="2"/>
        <v/>
      </c>
      <c r="K43" s="33"/>
      <c r="L43" s="25"/>
      <c r="M43" s="26"/>
      <c r="N43" s="27"/>
    </row>
    <row r="44" spans="1:14" x14ac:dyDescent="0.2">
      <c r="A44" s="110" t="s">
        <v>89</v>
      </c>
      <c r="B44" s="111"/>
      <c r="C44" s="112"/>
      <c r="D44" s="23">
        <v>1048.94</v>
      </c>
      <c r="E44" s="15">
        <f t="shared" si="0"/>
        <v>1048.94</v>
      </c>
      <c r="F44" s="23">
        <v>-357</v>
      </c>
      <c r="G44" s="24"/>
      <c r="H44" s="24"/>
      <c r="I44" s="15"/>
      <c r="J44" s="32" t="str">
        <f t="shared" ref="J44:J47" si="4">IF(OR(H44="",F44=""),"",E44-H44)</f>
        <v/>
      </c>
      <c r="K44" s="33"/>
      <c r="L44" s="25"/>
      <c r="M44" s="26"/>
      <c r="N44" s="27"/>
    </row>
    <row r="45" spans="1:14" x14ac:dyDescent="0.2">
      <c r="A45" s="113" t="s">
        <v>27</v>
      </c>
      <c r="B45" s="114"/>
      <c r="C45" s="115"/>
      <c r="D45" s="23">
        <v>1048.94</v>
      </c>
      <c r="E45" s="15">
        <f t="shared" si="0"/>
        <v>1048.94</v>
      </c>
      <c r="F45" s="23">
        <v>-357</v>
      </c>
      <c r="G45" s="24"/>
      <c r="H45" s="24"/>
      <c r="I45" s="15"/>
      <c r="J45" s="32" t="str">
        <f t="shared" si="4"/>
        <v/>
      </c>
      <c r="K45" s="33"/>
      <c r="L45" s="25"/>
      <c r="M45" s="26"/>
      <c r="N45" s="27"/>
    </row>
    <row r="46" spans="1:14" x14ac:dyDescent="0.2">
      <c r="A46" s="113" t="s">
        <v>37</v>
      </c>
      <c r="B46" s="114"/>
      <c r="C46" s="115"/>
      <c r="D46" s="23">
        <v>1048.94</v>
      </c>
      <c r="E46" s="15">
        <f t="shared" si="0"/>
        <v>1048.94</v>
      </c>
      <c r="F46" s="23">
        <v>-357</v>
      </c>
      <c r="G46" s="24"/>
      <c r="H46" s="24"/>
      <c r="I46" s="15"/>
      <c r="J46" s="32" t="str">
        <f t="shared" si="4"/>
        <v/>
      </c>
      <c r="K46" s="33"/>
      <c r="L46" s="25"/>
      <c r="M46" s="26"/>
      <c r="N46" s="27"/>
    </row>
    <row r="47" spans="1:14" x14ac:dyDescent="0.2">
      <c r="A47" s="110" t="s">
        <v>90</v>
      </c>
      <c r="B47" s="111"/>
      <c r="C47" s="112"/>
      <c r="D47" s="23">
        <v>1055.94</v>
      </c>
      <c r="E47" s="15">
        <f t="shared" si="0"/>
        <v>1055.94</v>
      </c>
      <c r="F47" s="23">
        <v>-364</v>
      </c>
      <c r="G47" s="24"/>
      <c r="H47" s="24"/>
      <c r="I47" s="15"/>
      <c r="J47" s="32" t="str">
        <f t="shared" si="4"/>
        <v/>
      </c>
      <c r="K47" s="33"/>
      <c r="L47" s="25"/>
      <c r="M47" s="26"/>
      <c r="N47" s="27"/>
    </row>
    <row r="48" spans="1:14" x14ac:dyDescent="0.2">
      <c r="A48" s="110" t="s">
        <v>91</v>
      </c>
      <c r="B48" s="111"/>
      <c r="C48" s="112"/>
      <c r="D48" s="23">
        <v>1105.94</v>
      </c>
      <c r="E48" s="15">
        <f t="shared" si="0"/>
        <v>1105.94</v>
      </c>
      <c r="F48" s="23">
        <v>-414</v>
      </c>
      <c r="G48" s="24"/>
      <c r="H48" s="24"/>
      <c r="I48" s="15" t="str">
        <f t="shared" si="1"/>
        <v/>
      </c>
      <c r="J48" s="32" t="str">
        <f t="shared" si="2"/>
        <v/>
      </c>
      <c r="K48" s="33"/>
      <c r="L48" s="25"/>
      <c r="M48" s="26"/>
      <c r="N48" s="27"/>
    </row>
    <row r="49" spans="1:14" ht="16" thickBot="1" x14ac:dyDescent="0.25">
      <c r="A49" s="136" t="s">
        <v>38</v>
      </c>
      <c r="B49" s="137"/>
      <c r="C49" s="138"/>
      <c r="D49" s="23">
        <v>1118.94</v>
      </c>
      <c r="E49" s="15">
        <f t="shared" si="0"/>
        <v>1118.94</v>
      </c>
      <c r="F49" s="17">
        <v>-427</v>
      </c>
      <c r="G49" s="19"/>
      <c r="H49" s="19"/>
      <c r="I49" s="18" t="str">
        <f t="shared" si="1"/>
        <v/>
      </c>
      <c r="J49" s="139" t="str">
        <f t="shared" si="2"/>
        <v/>
      </c>
      <c r="K49" s="140"/>
      <c r="L49" s="12"/>
      <c r="M49" s="8"/>
      <c r="N49" s="13"/>
    </row>
    <row r="50" spans="1:14" x14ac:dyDescent="0.2">
      <c r="A50" s="70" t="s">
        <v>46</v>
      </c>
      <c r="B50" s="71"/>
      <c r="C50" s="71"/>
      <c r="D50" s="71"/>
      <c r="E50" s="71"/>
      <c r="F50" s="71"/>
      <c r="G50" s="71"/>
      <c r="H50" s="71"/>
      <c r="I50" s="71"/>
      <c r="J50" s="71"/>
      <c r="K50" s="71"/>
      <c r="L50" s="71"/>
      <c r="M50" s="71"/>
      <c r="N50" s="72"/>
    </row>
    <row r="51" spans="1:14" x14ac:dyDescent="0.2">
      <c r="A51" s="141" t="s">
        <v>47</v>
      </c>
      <c r="B51" s="69"/>
      <c r="C51" s="69"/>
      <c r="D51" s="69" t="s">
        <v>48</v>
      </c>
      <c r="E51" s="69"/>
      <c r="F51" s="69"/>
      <c r="G51" s="69" t="s">
        <v>49</v>
      </c>
      <c r="H51" s="69"/>
      <c r="I51" s="69" t="s">
        <v>58</v>
      </c>
      <c r="J51" s="69"/>
      <c r="K51" s="69" t="s">
        <v>50</v>
      </c>
      <c r="L51" s="69"/>
      <c r="M51" s="69" t="s">
        <v>51</v>
      </c>
      <c r="N51" s="142"/>
    </row>
    <row r="52" spans="1:14" x14ac:dyDescent="0.2">
      <c r="A52" s="132"/>
      <c r="B52" s="133"/>
      <c r="C52" s="133"/>
      <c r="D52" s="133"/>
      <c r="E52" s="133"/>
      <c r="F52" s="133"/>
      <c r="G52" s="134" t="str">
        <f>IF(D52="","",(D52/A52))</f>
        <v/>
      </c>
      <c r="H52" s="134"/>
      <c r="I52" s="133"/>
      <c r="J52" s="133"/>
      <c r="K52" s="68"/>
      <c r="L52" s="68"/>
      <c r="M52" s="68"/>
      <c r="N52" s="135"/>
    </row>
    <row r="53" spans="1:14" x14ac:dyDescent="0.2">
      <c r="A53" s="70" t="s">
        <v>52</v>
      </c>
      <c r="B53" s="71"/>
      <c r="C53" s="71"/>
      <c r="D53" s="71"/>
      <c r="E53" s="71"/>
      <c r="F53" s="71"/>
      <c r="G53" s="71"/>
      <c r="H53" s="71"/>
      <c r="I53" s="71"/>
      <c r="J53" s="71"/>
      <c r="K53" s="71"/>
      <c r="L53" s="71"/>
      <c r="M53" s="71"/>
      <c r="N53" s="72"/>
    </row>
    <row r="54" spans="1:14" x14ac:dyDescent="0.2">
      <c r="A54" s="126" t="s">
        <v>102</v>
      </c>
      <c r="B54" s="127"/>
      <c r="C54" s="127"/>
      <c r="D54" s="127"/>
      <c r="E54" s="127"/>
      <c r="F54" s="127"/>
      <c r="G54" s="127"/>
      <c r="H54" s="127"/>
      <c r="I54" s="127"/>
      <c r="J54" s="127"/>
      <c r="K54" s="127"/>
      <c r="L54" s="127"/>
      <c r="M54" s="127"/>
      <c r="N54" s="128"/>
    </row>
    <row r="55" spans="1:14" x14ac:dyDescent="0.2">
      <c r="A55" s="126"/>
      <c r="B55" s="127"/>
      <c r="C55" s="127"/>
      <c r="D55" s="127"/>
      <c r="E55" s="127"/>
      <c r="F55" s="127"/>
      <c r="G55" s="127"/>
      <c r="H55" s="127"/>
      <c r="I55" s="127"/>
      <c r="J55" s="127"/>
      <c r="K55" s="127"/>
      <c r="L55" s="127"/>
      <c r="M55" s="127"/>
      <c r="N55" s="128"/>
    </row>
    <row r="56" spans="1:14" x14ac:dyDescent="0.2">
      <c r="A56" s="126"/>
      <c r="B56" s="127"/>
      <c r="C56" s="127"/>
      <c r="D56" s="127"/>
      <c r="E56" s="127"/>
      <c r="F56" s="127"/>
      <c r="G56" s="127"/>
      <c r="H56" s="127"/>
      <c r="I56" s="127"/>
      <c r="J56" s="127"/>
      <c r="K56" s="127"/>
      <c r="L56" s="127"/>
      <c r="M56" s="127"/>
      <c r="N56" s="128"/>
    </row>
    <row r="57" spans="1:14" x14ac:dyDescent="0.2">
      <c r="A57" s="126"/>
      <c r="B57" s="127"/>
      <c r="C57" s="127"/>
      <c r="D57" s="127"/>
      <c r="E57" s="127"/>
      <c r="F57" s="127"/>
      <c r="G57" s="127"/>
      <c r="H57" s="127"/>
      <c r="I57" s="127"/>
      <c r="J57" s="127"/>
      <c r="K57" s="127"/>
      <c r="L57" s="127"/>
      <c r="M57" s="127"/>
      <c r="N57" s="128"/>
    </row>
    <row r="58" spans="1:14" x14ac:dyDescent="0.2">
      <c r="A58" s="126"/>
      <c r="B58" s="127"/>
      <c r="C58" s="127"/>
      <c r="D58" s="127"/>
      <c r="E58" s="127"/>
      <c r="F58" s="127"/>
      <c r="G58" s="127"/>
      <c r="H58" s="127"/>
      <c r="I58" s="127"/>
      <c r="J58" s="127"/>
      <c r="K58" s="127"/>
      <c r="L58" s="127"/>
      <c r="M58" s="127"/>
      <c r="N58" s="128"/>
    </row>
    <row r="59" spans="1:14" x14ac:dyDescent="0.2">
      <c r="A59" s="126"/>
      <c r="B59" s="127"/>
      <c r="C59" s="127"/>
      <c r="D59" s="127"/>
      <c r="E59" s="127"/>
      <c r="F59" s="127"/>
      <c r="G59" s="127"/>
      <c r="H59" s="127"/>
      <c r="I59" s="127"/>
      <c r="J59" s="127"/>
      <c r="K59" s="127"/>
      <c r="L59" s="127"/>
      <c r="M59" s="127"/>
      <c r="N59" s="128"/>
    </row>
    <row r="60" spans="1:14" x14ac:dyDescent="0.2">
      <c r="A60" s="126"/>
      <c r="B60" s="127"/>
      <c r="C60" s="127"/>
      <c r="D60" s="127"/>
      <c r="E60" s="127"/>
      <c r="F60" s="127"/>
      <c r="G60" s="127"/>
      <c r="H60" s="127"/>
      <c r="I60" s="127"/>
      <c r="J60" s="127"/>
      <c r="K60" s="127"/>
      <c r="L60" s="127"/>
      <c r="M60" s="127"/>
      <c r="N60" s="128"/>
    </row>
    <row r="61" spans="1:14" x14ac:dyDescent="0.2">
      <c r="A61" s="126"/>
      <c r="B61" s="127"/>
      <c r="C61" s="127"/>
      <c r="D61" s="127"/>
      <c r="E61" s="127"/>
      <c r="F61" s="127"/>
      <c r="G61" s="127"/>
      <c r="H61" s="127"/>
      <c r="I61" s="127"/>
      <c r="J61" s="127"/>
      <c r="K61" s="127"/>
      <c r="L61" s="127"/>
      <c r="M61" s="127"/>
      <c r="N61" s="128"/>
    </row>
    <row r="62" spans="1:14" x14ac:dyDescent="0.2">
      <c r="A62" s="126"/>
      <c r="B62" s="127"/>
      <c r="C62" s="127"/>
      <c r="D62" s="127"/>
      <c r="E62" s="127"/>
      <c r="F62" s="127"/>
      <c r="G62" s="127"/>
      <c r="H62" s="127"/>
      <c r="I62" s="127"/>
      <c r="J62" s="127"/>
      <c r="K62" s="127"/>
      <c r="L62" s="127"/>
      <c r="M62" s="127"/>
      <c r="N62" s="128"/>
    </row>
    <row r="63" spans="1:14" x14ac:dyDescent="0.2">
      <c r="A63" s="126"/>
      <c r="B63" s="127"/>
      <c r="C63" s="127"/>
      <c r="D63" s="127"/>
      <c r="E63" s="127"/>
      <c r="F63" s="127"/>
      <c r="G63" s="127"/>
      <c r="H63" s="127"/>
      <c r="I63" s="127"/>
      <c r="J63" s="127"/>
      <c r="K63" s="127"/>
      <c r="L63" s="127"/>
      <c r="M63" s="127"/>
      <c r="N63" s="128"/>
    </row>
    <row r="64" spans="1:14" x14ac:dyDescent="0.2">
      <c r="A64" s="126"/>
      <c r="B64" s="127"/>
      <c r="C64" s="127"/>
      <c r="D64" s="127"/>
      <c r="E64" s="127"/>
      <c r="F64" s="127"/>
      <c r="G64" s="127"/>
      <c r="H64" s="127"/>
      <c r="I64" s="127"/>
      <c r="J64" s="127"/>
      <c r="K64" s="127"/>
      <c r="L64" s="127"/>
      <c r="M64" s="127"/>
      <c r="N64" s="128"/>
    </row>
    <row r="65" spans="1:14" x14ac:dyDescent="0.2">
      <c r="A65" s="126"/>
      <c r="B65" s="127"/>
      <c r="C65" s="127"/>
      <c r="D65" s="127"/>
      <c r="E65" s="127"/>
      <c r="F65" s="127"/>
      <c r="G65" s="127"/>
      <c r="H65" s="127"/>
      <c r="I65" s="127"/>
      <c r="J65" s="127"/>
      <c r="K65" s="127"/>
      <c r="L65" s="127"/>
      <c r="M65" s="127"/>
      <c r="N65" s="128"/>
    </row>
    <row r="66" spans="1:14" x14ac:dyDescent="0.2">
      <c r="A66" s="126"/>
      <c r="B66" s="127"/>
      <c r="C66" s="127"/>
      <c r="D66" s="127"/>
      <c r="E66" s="127"/>
      <c r="F66" s="127"/>
      <c r="G66" s="127"/>
      <c r="H66" s="127"/>
      <c r="I66" s="127"/>
      <c r="J66" s="127"/>
      <c r="K66" s="127"/>
      <c r="L66" s="127"/>
      <c r="M66" s="127"/>
      <c r="N66" s="128"/>
    </row>
    <row r="67" spans="1:14" x14ac:dyDescent="0.2">
      <c r="A67" s="126"/>
      <c r="B67" s="127"/>
      <c r="C67" s="127"/>
      <c r="D67" s="127"/>
      <c r="E67" s="127"/>
      <c r="F67" s="127"/>
      <c r="G67" s="127"/>
      <c r="H67" s="127"/>
      <c r="I67" s="127"/>
      <c r="J67" s="127"/>
      <c r="K67" s="127"/>
      <c r="L67" s="127"/>
      <c r="M67" s="127"/>
      <c r="N67" s="128"/>
    </row>
    <row r="68" spans="1:14" x14ac:dyDescent="0.2">
      <c r="A68" s="126"/>
      <c r="B68" s="127"/>
      <c r="C68" s="127"/>
      <c r="D68" s="127"/>
      <c r="E68" s="127"/>
      <c r="F68" s="127"/>
      <c r="G68" s="127"/>
      <c r="H68" s="127"/>
      <c r="I68" s="127"/>
      <c r="J68" s="127"/>
      <c r="K68" s="127"/>
      <c r="L68" s="127"/>
      <c r="M68" s="127"/>
      <c r="N68" s="128"/>
    </row>
    <row r="69" spans="1:14" x14ac:dyDescent="0.2">
      <c r="A69" s="126"/>
      <c r="B69" s="127"/>
      <c r="C69" s="127"/>
      <c r="D69" s="127"/>
      <c r="E69" s="127"/>
      <c r="F69" s="127"/>
      <c r="G69" s="127"/>
      <c r="H69" s="127"/>
      <c r="I69" s="127"/>
      <c r="J69" s="127"/>
      <c r="K69" s="127"/>
      <c r="L69" s="127"/>
      <c r="M69" s="127"/>
      <c r="N69" s="128"/>
    </row>
    <row r="70" spans="1:14" x14ac:dyDescent="0.2">
      <c r="A70" s="126"/>
      <c r="B70" s="127"/>
      <c r="C70" s="127"/>
      <c r="D70" s="127"/>
      <c r="E70" s="127"/>
      <c r="F70" s="127"/>
      <c r="G70" s="127"/>
      <c r="H70" s="127"/>
      <c r="I70" s="127"/>
      <c r="J70" s="127"/>
      <c r="K70" s="127"/>
      <c r="L70" s="127"/>
      <c r="M70" s="127"/>
      <c r="N70" s="128"/>
    </row>
    <row r="71" spans="1:14" x14ac:dyDescent="0.2">
      <c r="A71" s="126"/>
      <c r="B71" s="127"/>
      <c r="C71" s="127"/>
      <c r="D71" s="127"/>
      <c r="E71" s="127"/>
      <c r="F71" s="127"/>
      <c r="G71" s="127"/>
      <c r="H71" s="127"/>
      <c r="I71" s="127"/>
      <c r="J71" s="127"/>
      <c r="K71" s="127"/>
      <c r="L71" s="127"/>
      <c r="M71" s="127"/>
      <c r="N71" s="128"/>
    </row>
    <row r="72" spans="1:14" x14ac:dyDescent="0.2">
      <c r="A72" s="126"/>
      <c r="B72" s="127"/>
      <c r="C72" s="127"/>
      <c r="D72" s="127"/>
      <c r="E72" s="127"/>
      <c r="F72" s="127"/>
      <c r="G72" s="127"/>
      <c r="H72" s="127"/>
      <c r="I72" s="127"/>
      <c r="J72" s="127"/>
      <c r="K72" s="127"/>
      <c r="L72" s="127"/>
      <c r="M72" s="127"/>
      <c r="N72" s="128"/>
    </row>
    <row r="73" spans="1:14" x14ac:dyDescent="0.2">
      <c r="A73" s="126"/>
      <c r="B73" s="127"/>
      <c r="C73" s="127"/>
      <c r="D73" s="127"/>
      <c r="E73" s="127"/>
      <c r="F73" s="127"/>
      <c r="G73" s="127"/>
      <c r="H73" s="127"/>
      <c r="I73" s="127"/>
      <c r="J73" s="127"/>
      <c r="K73" s="127"/>
      <c r="L73" s="127"/>
      <c r="M73" s="127"/>
      <c r="N73" s="128"/>
    </row>
    <row r="74" spans="1:14" ht="16" thickBot="1" x14ac:dyDescent="0.25">
      <c r="A74" s="129"/>
      <c r="B74" s="130"/>
      <c r="C74" s="130"/>
      <c r="D74" s="130"/>
      <c r="E74" s="130"/>
      <c r="F74" s="130"/>
      <c r="G74" s="130"/>
      <c r="H74" s="130"/>
      <c r="I74" s="130"/>
      <c r="J74" s="130"/>
      <c r="K74" s="130"/>
      <c r="L74" s="130"/>
      <c r="M74" s="130"/>
      <c r="N74" s="131"/>
    </row>
    <row r="75" spans="1:14" x14ac:dyDescent="0.2">
      <c r="A75" s="1"/>
      <c r="B75" s="1"/>
      <c r="C75" s="1"/>
      <c r="D75" s="1"/>
      <c r="E75" s="1"/>
      <c r="F75" s="1"/>
      <c r="G75" s="1"/>
      <c r="H75" s="1"/>
      <c r="I75" s="1"/>
      <c r="J75" s="1"/>
      <c r="K75" s="1"/>
      <c r="L75" s="1"/>
      <c r="M75" s="1"/>
      <c r="N75" s="1"/>
    </row>
  </sheetData>
  <sheetProtection formatCells="0" formatColumns="0" formatRows="0" insertColumns="0" insertRows="0" insertHyperlinks="0" deleteColumns="0" deleteRows="0" sort="0" autoFilter="0" pivotTables="0"/>
  <mergeCells count="121">
    <mergeCell ref="A1:C3"/>
    <mergeCell ref="D1:K1"/>
    <mergeCell ref="M1:N1"/>
    <mergeCell ref="D2:K2"/>
    <mergeCell ref="L2:M2"/>
    <mergeCell ref="D3:K3"/>
    <mergeCell ref="L3:M3"/>
    <mergeCell ref="A6:B7"/>
    <mergeCell ref="C6:E7"/>
    <mergeCell ref="F6:G7"/>
    <mergeCell ref="I6:K6"/>
    <mergeCell ref="L6:N6"/>
    <mergeCell ref="I7:K7"/>
    <mergeCell ref="L7:N7"/>
    <mergeCell ref="A4:K4"/>
    <mergeCell ref="L4:N4"/>
    <mergeCell ref="A5:B5"/>
    <mergeCell ref="C5:E5"/>
    <mergeCell ref="F5:H5"/>
    <mergeCell ref="I5:K5"/>
    <mergeCell ref="L5:N5"/>
    <mergeCell ref="A10:N10"/>
    <mergeCell ref="A11:B11"/>
    <mergeCell ref="C11:D11"/>
    <mergeCell ref="E11:F11"/>
    <mergeCell ref="G11:I11"/>
    <mergeCell ref="J11:K11"/>
    <mergeCell ref="A8:B9"/>
    <mergeCell ref="C8:E9"/>
    <mergeCell ref="F8:G9"/>
    <mergeCell ref="I8:K8"/>
    <mergeCell ref="L8:N8"/>
    <mergeCell ref="I9:K9"/>
    <mergeCell ref="L9:N9"/>
    <mergeCell ref="A12:B12"/>
    <mergeCell ref="C12:D12"/>
    <mergeCell ref="E12:F12"/>
    <mergeCell ref="G12:I12"/>
    <mergeCell ref="J12:K12"/>
    <mergeCell ref="A13:B13"/>
    <mergeCell ref="C13:D13"/>
    <mergeCell ref="E13:F13"/>
    <mergeCell ref="G13:I13"/>
    <mergeCell ref="J13:K13"/>
    <mergeCell ref="A16:B16"/>
    <mergeCell ref="C16:D16"/>
    <mergeCell ref="E16:F16"/>
    <mergeCell ref="G16:I16"/>
    <mergeCell ref="J16:K16"/>
    <mergeCell ref="A17:N17"/>
    <mergeCell ref="A14:B14"/>
    <mergeCell ref="C14:D14"/>
    <mergeCell ref="E14:F14"/>
    <mergeCell ref="G14:I14"/>
    <mergeCell ref="J14:K14"/>
    <mergeCell ref="A15:B15"/>
    <mergeCell ref="C15:D15"/>
    <mergeCell ref="E15:F15"/>
    <mergeCell ref="G15:I15"/>
    <mergeCell ref="J15:K15"/>
    <mergeCell ref="A32:C33"/>
    <mergeCell ref="D32:F32"/>
    <mergeCell ref="G32:K32"/>
    <mergeCell ref="L32:L33"/>
    <mergeCell ref="M32:M33"/>
    <mergeCell ref="N32:N33"/>
    <mergeCell ref="J33:K33"/>
    <mergeCell ref="A18:N18"/>
    <mergeCell ref="A19:N19"/>
    <mergeCell ref="A20:N24"/>
    <mergeCell ref="A25:N25"/>
    <mergeCell ref="A26:N30"/>
    <mergeCell ref="A31:K31"/>
    <mergeCell ref="L31:N31"/>
    <mergeCell ref="A37:C37"/>
    <mergeCell ref="J37:K37"/>
    <mergeCell ref="A38:C38"/>
    <mergeCell ref="J38:K38"/>
    <mergeCell ref="A39:C39"/>
    <mergeCell ref="J39:K39"/>
    <mergeCell ref="A34:C34"/>
    <mergeCell ref="J34:K34"/>
    <mergeCell ref="A35:C35"/>
    <mergeCell ref="J35:K35"/>
    <mergeCell ref="A36:C36"/>
    <mergeCell ref="J36:K36"/>
    <mergeCell ref="A46:C46"/>
    <mergeCell ref="A47:C47"/>
    <mergeCell ref="A48:C48"/>
    <mergeCell ref="J48:K48"/>
    <mergeCell ref="A40:C40"/>
    <mergeCell ref="J40:K40"/>
    <mergeCell ref="A41:C41"/>
    <mergeCell ref="A42:C42"/>
    <mergeCell ref="J42:K42"/>
    <mergeCell ref="A43:C43"/>
    <mergeCell ref="J43:K43"/>
    <mergeCell ref="A53:N53"/>
    <mergeCell ref="A54:N74"/>
    <mergeCell ref="J41:K41"/>
    <mergeCell ref="J44:K44"/>
    <mergeCell ref="J45:K45"/>
    <mergeCell ref="J46:K46"/>
    <mergeCell ref="J47:K47"/>
    <mergeCell ref="A52:C52"/>
    <mergeCell ref="D52:F52"/>
    <mergeCell ref="G52:H52"/>
    <mergeCell ref="I52:J52"/>
    <mergeCell ref="K52:L52"/>
    <mergeCell ref="M52:N52"/>
    <mergeCell ref="A49:C49"/>
    <mergeCell ref="J49:K49"/>
    <mergeCell ref="A50:N50"/>
    <mergeCell ref="A51:C51"/>
    <mergeCell ref="D51:F51"/>
    <mergeCell ref="G51:H51"/>
    <mergeCell ref="I51:J51"/>
    <mergeCell ref="K51:L51"/>
    <mergeCell ref="M51:N51"/>
    <mergeCell ref="A44:C44"/>
    <mergeCell ref="A45:C45"/>
  </mergeCells>
  <conditionalFormatting sqref="D34:K41 F42:K47 D42:E49 F48:J48 F49:K49 G52:H52">
    <cfRule type="notContainsBlanks" dxfId="12" priority="3">
      <formula>LEN(TRIM(D34))&gt;0</formula>
    </cfRule>
  </conditionalFormatting>
  <conditionalFormatting sqref="I8:K9">
    <cfRule type="notContainsBlanks" dxfId="11" priority="1">
      <formula>LEN(TRIM(I8))&gt;0</formula>
    </cfRule>
  </conditionalFormatting>
  <conditionalFormatting sqref="M1:N1 D2:K3 N2:N3 I5:N7 C6:E9 L9:N9 C11:D16 G11:I16 A18:N18 A20:N24 A26:N30">
    <cfRule type="notContainsBlanks" dxfId="10" priority="2">
      <formula>LEN(TRIM(A1))&gt;0</formula>
    </cfRule>
  </conditionalFormatting>
  <dataValidations count="4">
    <dataValidation type="list" allowBlank="1" showInputMessage="1" showErrorMessage="1" sqref="G15:I16" xr:uid="{FEA49423-C782-4550-9346-D555780C7C2D}">
      <formula1>$A$34:$A$49</formula1>
    </dataValidation>
    <dataValidation allowBlank="1" showInputMessage="1" showErrorMessage="1" prompt="Insert any additional comments &amp; photos if necessary " sqref="A54:N74" xr:uid="{9A8A6517-998A-4400-B456-F4EC4FC1850F}"/>
    <dataValidation allowBlank="1" showInputMessage="1" showErrorMessage="1" prompt="UWI Here" sqref="D3:K3" xr:uid="{90C153BF-0ADA-4745-969E-B67C2EC554C9}"/>
    <dataValidation allowBlank="1" showInputMessage="1" showErrorMessage="1" prompt="Well Name Here" sqref="D2:K2" xr:uid="{4C3FBABA-2D68-4165-9AE4-211AAF9147BD}"/>
  </dataValidations>
  <pageMargins left="0.7" right="0.7" top="0.75" bottom="0.75" header="0.3" footer="0.3"/>
  <pageSetup scale="5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240C9-6F11-4F1A-91A1-CA0432AE67E1}">
  <sheetPr>
    <pageSetUpPr fitToPage="1"/>
  </sheetPr>
  <dimension ref="A1:N75"/>
  <sheetViews>
    <sheetView zoomScaleNormal="100" workbookViewId="0">
      <selection activeCell="G39" sqref="G39"/>
    </sheetView>
  </sheetViews>
  <sheetFormatPr baseColWidth="10" defaultColWidth="8.83203125" defaultRowHeight="15" x14ac:dyDescent="0.2"/>
  <cols>
    <col min="1" max="3" width="10.6640625" customWidth="1"/>
    <col min="4" max="4" width="12" customWidth="1"/>
    <col min="5" max="13" width="10.6640625" customWidth="1"/>
    <col min="14" max="14" width="13.5" customWidth="1"/>
  </cols>
  <sheetData>
    <row r="1" spans="1:14" ht="22" x14ac:dyDescent="0.3">
      <c r="A1" s="34"/>
      <c r="B1" s="35"/>
      <c r="C1" s="35"/>
      <c r="D1" s="38" t="s">
        <v>0</v>
      </c>
      <c r="E1" s="39"/>
      <c r="F1" s="39"/>
      <c r="G1" s="39"/>
      <c r="H1" s="39"/>
      <c r="I1" s="39"/>
      <c r="J1" s="39"/>
      <c r="K1" s="40"/>
      <c r="L1" s="4" t="s">
        <v>7</v>
      </c>
      <c r="M1" s="41" t="s">
        <v>104</v>
      </c>
      <c r="N1" s="42"/>
    </row>
    <row r="2" spans="1:14" ht="21" customHeight="1" x14ac:dyDescent="0.3">
      <c r="A2" s="36"/>
      <c r="B2" s="37"/>
      <c r="C2" s="37"/>
      <c r="D2" s="43" t="s">
        <v>79</v>
      </c>
      <c r="E2" s="44"/>
      <c r="F2" s="44"/>
      <c r="G2" s="44"/>
      <c r="H2" s="44"/>
      <c r="I2" s="44"/>
      <c r="J2" s="44"/>
      <c r="K2" s="45"/>
      <c r="L2" s="46" t="s">
        <v>1</v>
      </c>
      <c r="M2" s="47"/>
      <c r="N2" s="21">
        <v>4</v>
      </c>
    </row>
    <row r="3" spans="1:14" ht="24.75" customHeight="1" thickBot="1" x14ac:dyDescent="0.35">
      <c r="A3" s="36"/>
      <c r="B3" s="37"/>
      <c r="C3" s="37"/>
      <c r="D3" s="48" t="s">
        <v>80</v>
      </c>
      <c r="E3" s="49"/>
      <c r="F3" s="49"/>
      <c r="G3" s="49"/>
      <c r="H3" s="49"/>
      <c r="I3" s="49"/>
      <c r="J3" s="49"/>
      <c r="K3" s="50"/>
      <c r="L3" s="51" t="s">
        <v>54</v>
      </c>
      <c r="M3" s="52"/>
      <c r="N3" s="22">
        <v>1</v>
      </c>
    </row>
    <row r="4" spans="1:14" x14ac:dyDescent="0.2">
      <c r="A4" s="63" t="s">
        <v>2</v>
      </c>
      <c r="B4" s="64"/>
      <c r="C4" s="64"/>
      <c r="D4" s="64"/>
      <c r="E4" s="64"/>
      <c r="F4" s="64"/>
      <c r="G4" s="64"/>
      <c r="H4" s="64"/>
      <c r="I4" s="64"/>
      <c r="J4" s="64"/>
      <c r="K4" s="64"/>
      <c r="L4" s="64" t="s">
        <v>60</v>
      </c>
      <c r="M4" s="64"/>
      <c r="N4" s="65"/>
    </row>
    <row r="5" spans="1:14" x14ac:dyDescent="0.2">
      <c r="A5" s="66" t="s">
        <v>3</v>
      </c>
      <c r="B5" s="67"/>
      <c r="C5" s="68" t="s">
        <v>4</v>
      </c>
      <c r="D5" s="68"/>
      <c r="E5" s="68"/>
      <c r="F5" s="69" t="s">
        <v>5</v>
      </c>
      <c r="G5" s="69"/>
      <c r="H5" s="69"/>
      <c r="I5" s="60" t="s">
        <v>75</v>
      </c>
      <c r="J5" s="60"/>
      <c r="K5" s="60"/>
      <c r="L5" s="60" t="s">
        <v>76</v>
      </c>
      <c r="M5" s="60"/>
      <c r="N5" s="62"/>
    </row>
    <row r="6" spans="1:14" x14ac:dyDescent="0.2">
      <c r="A6" s="56" t="s">
        <v>8</v>
      </c>
      <c r="B6" s="57"/>
      <c r="C6" s="58" t="s">
        <v>64</v>
      </c>
      <c r="D6" s="58"/>
      <c r="E6" s="58"/>
      <c r="F6" s="59" t="s">
        <v>6</v>
      </c>
      <c r="G6" s="59"/>
      <c r="H6" s="6" t="s">
        <v>11</v>
      </c>
      <c r="I6" s="60" t="s">
        <v>65</v>
      </c>
      <c r="J6" s="60"/>
      <c r="K6" s="60"/>
      <c r="L6" s="60" t="s">
        <v>73</v>
      </c>
      <c r="M6" s="60"/>
      <c r="N6" s="62"/>
    </row>
    <row r="7" spans="1:14" x14ac:dyDescent="0.2">
      <c r="A7" s="56"/>
      <c r="B7" s="57"/>
      <c r="C7" s="58"/>
      <c r="D7" s="58"/>
      <c r="E7" s="58"/>
      <c r="F7" s="59"/>
      <c r="G7" s="59"/>
      <c r="H7" s="6" t="s">
        <v>12</v>
      </c>
      <c r="I7" s="60" t="s">
        <v>66</v>
      </c>
      <c r="J7" s="60"/>
      <c r="K7" s="60"/>
      <c r="L7" s="60" t="s">
        <v>74</v>
      </c>
      <c r="M7" s="60"/>
      <c r="N7" s="62"/>
    </row>
    <row r="8" spans="1:14" x14ac:dyDescent="0.2">
      <c r="A8" s="82" t="s">
        <v>9</v>
      </c>
      <c r="B8" s="59"/>
      <c r="C8" s="58" t="s">
        <v>97</v>
      </c>
      <c r="D8" s="58"/>
      <c r="E8" s="58"/>
      <c r="F8" s="59" t="s">
        <v>10</v>
      </c>
      <c r="G8" s="59"/>
      <c r="H8" s="2" t="s">
        <v>11</v>
      </c>
      <c r="I8" s="60" t="s">
        <v>67</v>
      </c>
      <c r="J8" s="60"/>
      <c r="K8" s="60"/>
      <c r="L8" s="73" t="s">
        <v>53</v>
      </c>
      <c r="M8" s="74"/>
      <c r="N8" s="75"/>
    </row>
    <row r="9" spans="1:14" x14ac:dyDescent="0.2">
      <c r="A9" s="82"/>
      <c r="B9" s="59"/>
      <c r="C9" s="58"/>
      <c r="D9" s="58"/>
      <c r="E9" s="58"/>
      <c r="F9" s="59"/>
      <c r="G9" s="59"/>
      <c r="H9" s="2" t="s">
        <v>12</v>
      </c>
      <c r="I9" s="60" t="s">
        <v>81</v>
      </c>
      <c r="J9" s="60"/>
      <c r="K9" s="60"/>
      <c r="L9" s="58" t="s">
        <v>72</v>
      </c>
      <c r="M9" s="58"/>
      <c r="N9" s="77"/>
    </row>
    <row r="10" spans="1:14" x14ac:dyDescent="0.2">
      <c r="A10" s="70" t="s">
        <v>33</v>
      </c>
      <c r="B10" s="71"/>
      <c r="C10" s="71"/>
      <c r="D10" s="71"/>
      <c r="E10" s="71"/>
      <c r="F10" s="71"/>
      <c r="G10" s="71"/>
      <c r="H10" s="71"/>
      <c r="I10" s="71"/>
      <c r="J10" s="71"/>
      <c r="K10" s="71"/>
      <c r="L10" s="71"/>
      <c r="M10" s="71"/>
      <c r="N10" s="72"/>
    </row>
    <row r="11" spans="1:14" x14ac:dyDescent="0.2">
      <c r="A11" s="66" t="s">
        <v>13</v>
      </c>
      <c r="B11" s="67"/>
      <c r="C11" s="61" t="s">
        <v>82</v>
      </c>
      <c r="D11" s="60"/>
      <c r="E11" s="67" t="s">
        <v>61</v>
      </c>
      <c r="F11" s="67"/>
      <c r="G11" s="78">
        <v>427</v>
      </c>
      <c r="H11" s="78"/>
      <c r="I11" s="78"/>
      <c r="J11" s="69" t="s">
        <v>29</v>
      </c>
      <c r="K11" s="81"/>
      <c r="L11" s="3" t="s">
        <v>30</v>
      </c>
      <c r="M11" s="3" t="s">
        <v>31</v>
      </c>
      <c r="N11" s="5" t="s">
        <v>32</v>
      </c>
    </row>
    <row r="12" spans="1:14" x14ac:dyDescent="0.2">
      <c r="A12" s="66" t="s">
        <v>14</v>
      </c>
      <c r="B12" s="67"/>
      <c r="C12" s="60" t="s">
        <v>106</v>
      </c>
      <c r="D12" s="60"/>
      <c r="E12" s="67" t="s">
        <v>19</v>
      </c>
      <c r="F12" s="67"/>
      <c r="G12" s="78">
        <v>277</v>
      </c>
      <c r="H12" s="78"/>
      <c r="I12" s="78"/>
      <c r="J12" s="67" t="s">
        <v>24</v>
      </c>
      <c r="K12" s="67"/>
      <c r="L12" s="20">
        <v>311</v>
      </c>
      <c r="M12" s="20">
        <v>427</v>
      </c>
      <c r="N12" s="9" t="s">
        <v>77</v>
      </c>
    </row>
    <row r="13" spans="1:14" x14ac:dyDescent="0.2">
      <c r="A13" s="66" t="s">
        <v>15</v>
      </c>
      <c r="B13" s="67"/>
      <c r="C13" s="79">
        <v>46042</v>
      </c>
      <c r="D13" s="80"/>
      <c r="E13" s="67" t="s">
        <v>20</v>
      </c>
      <c r="F13" s="67"/>
      <c r="G13" s="60">
        <v>7</v>
      </c>
      <c r="H13" s="60"/>
      <c r="I13" s="60"/>
      <c r="J13" s="67" t="s">
        <v>25</v>
      </c>
      <c r="K13" s="67"/>
      <c r="L13" s="20">
        <v>224.5</v>
      </c>
      <c r="M13" s="20"/>
      <c r="N13" s="9" t="s">
        <v>77</v>
      </c>
    </row>
    <row r="14" spans="1:14" x14ac:dyDescent="0.2">
      <c r="A14" s="66" t="s">
        <v>16</v>
      </c>
      <c r="B14" s="67"/>
      <c r="C14" s="78">
        <v>4.76</v>
      </c>
      <c r="D14" s="78"/>
      <c r="E14" s="67" t="s">
        <v>21</v>
      </c>
      <c r="F14" s="67"/>
      <c r="G14" s="86">
        <v>39.6</v>
      </c>
      <c r="H14" s="86"/>
      <c r="I14" s="86"/>
      <c r="J14" s="67" t="s">
        <v>26</v>
      </c>
      <c r="K14" s="67"/>
      <c r="L14" s="20">
        <v>222</v>
      </c>
      <c r="M14" s="20"/>
      <c r="N14" s="9" t="s">
        <v>78</v>
      </c>
    </row>
    <row r="15" spans="1:14" x14ac:dyDescent="0.2">
      <c r="A15" s="66" t="s">
        <v>17</v>
      </c>
      <c r="B15" s="67"/>
      <c r="C15" s="78">
        <v>687.18</v>
      </c>
      <c r="D15" s="78"/>
      <c r="E15" s="67" t="s">
        <v>22</v>
      </c>
      <c r="F15" s="67"/>
      <c r="G15" s="60" t="s">
        <v>25</v>
      </c>
      <c r="H15" s="60"/>
      <c r="I15" s="60"/>
      <c r="J15" s="67" t="s">
        <v>27</v>
      </c>
      <c r="K15" s="67"/>
      <c r="L15" s="20">
        <v>164</v>
      </c>
      <c r="M15" s="20"/>
      <c r="N15" s="9" t="s">
        <v>78</v>
      </c>
    </row>
    <row r="16" spans="1:14" x14ac:dyDescent="0.2">
      <c r="A16" s="66" t="s">
        <v>18</v>
      </c>
      <c r="B16" s="67"/>
      <c r="C16" s="78">
        <v>691.94</v>
      </c>
      <c r="D16" s="78"/>
      <c r="E16" s="67" t="s">
        <v>23</v>
      </c>
      <c r="F16" s="67"/>
      <c r="G16" s="60" t="s">
        <v>38</v>
      </c>
      <c r="H16" s="60"/>
      <c r="I16" s="60"/>
      <c r="J16" s="67" t="s">
        <v>28</v>
      </c>
      <c r="K16" s="67"/>
      <c r="L16" s="20">
        <v>159</v>
      </c>
      <c r="M16" s="20"/>
      <c r="N16" s="9" t="s">
        <v>78</v>
      </c>
    </row>
    <row r="17" spans="1:14" ht="16" thickBot="1" x14ac:dyDescent="0.25">
      <c r="A17" s="83" t="s">
        <v>55</v>
      </c>
      <c r="B17" s="84"/>
      <c r="C17" s="84"/>
      <c r="D17" s="84"/>
      <c r="E17" s="84"/>
      <c r="F17" s="84"/>
      <c r="G17" s="84"/>
      <c r="H17" s="84"/>
      <c r="I17" s="84"/>
      <c r="J17" s="84"/>
      <c r="K17" s="84"/>
      <c r="L17" s="84"/>
      <c r="M17" s="84"/>
      <c r="N17" s="85"/>
    </row>
    <row r="18" spans="1:14" ht="16" thickBot="1" x14ac:dyDescent="0.25">
      <c r="A18" s="95" t="s">
        <v>111</v>
      </c>
      <c r="B18" s="96"/>
      <c r="C18" s="96"/>
      <c r="D18" s="96"/>
      <c r="E18" s="96"/>
      <c r="F18" s="96"/>
      <c r="G18" s="96"/>
      <c r="H18" s="96"/>
      <c r="I18" s="96"/>
      <c r="J18" s="96"/>
      <c r="K18" s="96"/>
      <c r="L18" s="96"/>
      <c r="M18" s="96"/>
      <c r="N18" s="97"/>
    </row>
    <row r="19" spans="1:14" ht="16" thickBot="1" x14ac:dyDescent="0.25">
      <c r="A19" s="98" t="s">
        <v>34</v>
      </c>
      <c r="B19" s="99"/>
      <c r="C19" s="99"/>
      <c r="D19" s="99"/>
      <c r="E19" s="99"/>
      <c r="F19" s="99"/>
      <c r="G19" s="99"/>
      <c r="H19" s="99"/>
      <c r="I19" s="99"/>
      <c r="J19" s="99"/>
      <c r="K19" s="99"/>
      <c r="L19" s="99"/>
      <c r="M19" s="99"/>
      <c r="N19" s="100"/>
    </row>
    <row r="20" spans="1:14" x14ac:dyDescent="0.2">
      <c r="A20" s="101" t="s">
        <v>112</v>
      </c>
      <c r="B20" s="102"/>
      <c r="C20" s="102"/>
      <c r="D20" s="102"/>
      <c r="E20" s="102"/>
      <c r="F20" s="102"/>
      <c r="G20" s="102"/>
      <c r="H20" s="102"/>
      <c r="I20" s="102"/>
      <c r="J20" s="102"/>
      <c r="K20" s="102"/>
      <c r="L20" s="102"/>
      <c r="M20" s="102"/>
      <c r="N20" s="103"/>
    </row>
    <row r="21" spans="1:14" x14ac:dyDescent="0.2">
      <c r="A21" s="104"/>
      <c r="B21" s="105"/>
      <c r="C21" s="105"/>
      <c r="D21" s="105"/>
      <c r="E21" s="105"/>
      <c r="F21" s="105"/>
      <c r="G21" s="105"/>
      <c r="H21" s="105"/>
      <c r="I21" s="105"/>
      <c r="J21" s="105"/>
      <c r="K21" s="105"/>
      <c r="L21" s="105"/>
      <c r="M21" s="105"/>
      <c r="N21" s="106"/>
    </row>
    <row r="22" spans="1:14" x14ac:dyDescent="0.2">
      <c r="A22" s="104"/>
      <c r="B22" s="105"/>
      <c r="C22" s="105"/>
      <c r="D22" s="105"/>
      <c r="E22" s="105"/>
      <c r="F22" s="105"/>
      <c r="G22" s="105"/>
      <c r="H22" s="105"/>
      <c r="I22" s="105"/>
      <c r="J22" s="105"/>
      <c r="K22" s="105"/>
      <c r="L22" s="105"/>
      <c r="M22" s="105"/>
      <c r="N22" s="106"/>
    </row>
    <row r="23" spans="1:14" x14ac:dyDescent="0.2">
      <c r="A23" s="104"/>
      <c r="B23" s="105"/>
      <c r="C23" s="105"/>
      <c r="D23" s="105"/>
      <c r="E23" s="105"/>
      <c r="F23" s="105"/>
      <c r="G23" s="105"/>
      <c r="H23" s="105"/>
      <c r="I23" s="105"/>
      <c r="J23" s="105"/>
      <c r="K23" s="105"/>
      <c r="L23" s="105"/>
      <c r="M23" s="105"/>
      <c r="N23" s="106"/>
    </row>
    <row r="24" spans="1:14" ht="16" thickBot="1" x14ac:dyDescent="0.25">
      <c r="A24" s="107"/>
      <c r="B24" s="108"/>
      <c r="C24" s="108"/>
      <c r="D24" s="108"/>
      <c r="E24" s="108"/>
      <c r="F24" s="108"/>
      <c r="G24" s="108"/>
      <c r="H24" s="108"/>
      <c r="I24" s="108"/>
      <c r="J24" s="108"/>
      <c r="K24" s="108"/>
      <c r="L24" s="108"/>
      <c r="M24" s="108"/>
      <c r="N24" s="109"/>
    </row>
    <row r="25" spans="1:14" ht="16" thickBot="1" x14ac:dyDescent="0.25">
      <c r="A25" s="98" t="s">
        <v>35</v>
      </c>
      <c r="B25" s="99"/>
      <c r="C25" s="99"/>
      <c r="D25" s="99"/>
      <c r="E25" s="99"/>
      <c r="F25" s="99"/>
      <c r="G25" s="99"/>
      <c r="H25" s="99"/>
      <c r="I25" s="99"/>
      <c r="J25" s="99"/>
      <c r="K25" s="99"/>
      <c r="L25" s="99"/>
      <c r="M25" s="99"/>
      <c r="N25" s="100"/>
    </row>
    <row r="26" spans="1:14" x14ac:dyDescent="0.2">
      <c r="A26" s="101" t="s">
        <v>110</v>
      </c>
      <c r="B26" s="102"/>
      <c r="C26" s="102"/>
      <c r="D26" s="102"/>
      <c r="E26" s="102"/>
      <c r="F26" s="102"/>
      <c r="G26" s="102"/>
      <c r="H26" s="102"/>
      <c r="I26" s="102"/>
      <c r="J26" s="102"/>
      <c r="K26" s="102"/>
      <c r="L26" s="102"/>
      <c r="M26" s="102"/>
      <c r="N26" s="103"/>
    </row>
    <row r="27" spans="1:14" x14ac:dyDescent="0.2">
      <c r="A27" s="104"/>
      <c r="B27" s="105"/>
      <c r="C27" s="105"/>
      <c r="D27" s="105"/>
      <c r="E27" s="105"/>
      <c r="F27" s="105"/>
      <c r="G27" s="105"/>
      <c r="H27" s="105"/>
      <c r="I27" s="105"/>
      <c r="J27" s="105"/>
      <c r="K27" s="105"/>
      <c r="L27" s="105"/>
      <c r="M27" s="105"/>
      <c r="N27" s="106"/>
    </row>
    <row r="28" spans="1:14" x14ac:dyDescent="0.2">
      <c r="A28" s="104"/>
      <c r="B28" s="105"/>
      <c r="C28" s="105"/>
      <c r="D28" s="105"/>
      <c r="E28" s="105"/>
      <c r="F28" s="105"/>
      <c r="G28" s="105"/>
      <c r="H28" s="105"/>
      <c r="I28" s="105"/>
      <c r="J28" s="105"/>
      <c r="K28" s="105"/>
      <c r="L28" s="105"/>
      <c r="M28" s="105"/>
      <c r="N28" s="106"/>
    </row>
    <row r="29" spans="1:14" x14ac:dyDescent="0.2">
      <c r="A29" s="104"/>
      <c r="B29" s="105"/>
      <c r="C29" s="105"/>
      <c r="D29" s="105"/>
      <c r="E29" s="105"/>
      <c r="F29" s="105"/>
      <c r="G29" s="105"/>
      <c r="H29" s="105"/>
      <c r="I29" s="105"/>
      <c r="J29" s="105"/>
      <c r="K29" s="105"/>
      <c r="L29" s="105"/>
      <c r="M29" s="105"/>
      <c r="N29" s="106"/>
    </row>
    <row r="30" spans="1:14" ht="16" thickBot="1" x14ac:dyDescent="0.25">
      <c r="A30" s="107"/>
      <c r="B30" s="108"/>
      <c r="C30" s="108"/>
      <c r="D30" s="108"/>
      <c r="E30" s="108"/>
      <c r="F30" s="108"/>
      <c r="G30" s="108"/>
      <c r="H30" s="108"/>
      <c r="I30" s="108"/>
      <c r="J30" s="108"/>
      <c r="K30" s="108"/>
      <c r="L30" s="108"/>
      <c r="M30" s="108"/>
      <c r="N30" s="109"/>
    </row>
    <row r="31" spans="1:14" ht="16" thickBot="1" x14ac:dyDescent="0.25">
      <c r="A31" s="98" t="s">
        <v>36</v>
      </c>
      <c r="B31" s="99"/>
      <c r="C31" s="99"/>
      <c r="D31" s="99"/>
      <c r="E31" s="99"/>
      <c r="F31" s="99"/>
      <c r="G31" s="99"/>
      <c r="H31" s="99"/>
      <c r="I31" s="99"/>
      <c r="J31" s="99"/>
      <c r="K31" s="100"/>
      <c r="L31" s="98" t="s">
        <v>56</v>
      </c>
      <c r="M31" s="99"/>
      <c r="N31" s="100"/>
    </row>
    <row r="32" spans="1:14" x14ac:dyDescent="0.2">
      <c r="A32" s="116" t="s">
        <v>45</v>
      </c>
      <c r="B32" s="117"/>
      <c r="C32" s="118"/>
      <c r="D32" s="122" t="s">
        <v>39</v>
      </c>
      <c r="E32" s="122"/>
      <c r="F32" s="122"/>
      <c r="G32" s="123" t="s">
        <v>42</v>
      </c>
      <c r="H32" s="124"/>
      <c r="I32" s="124"/>
      <c r="J32" s="124"/>
      <c r="K32" s="125"/>
      <c r="L32" s="87" t="s">
        <v>62</v>
      </c>
      <c r="M32" s="89" t="s">
        <v>59</v>
      </c>
      <c r="N32" s="91" t="s">
        <v>57</v>
      </c>
    </row>
    <row r="33" spans="1:14" x14ac:dyDescent="0.2">
      <c r="A33" s="119"/>
      <c r="B33" s="120"/>
      <c r="C33" s="121"/>
      <c r="D33" s="3" t="s">
        <v>41</v>
      </c>
      <c r="E33" s="3" t="s">
        <v>43</v>
      </c>
      <c r="F33" s="3" t="s">
        <v>63</v>
      </c>
      <c r="G33" s="3" t="s">
        <v>41</v>
      </c>
      <c r="H33" s="3" t="s">
        <v>40</v>
      </c>
      <c r="I33" s="3" t="s">
        <v>63</v>
      </c>
      <c r="J33" s="93" t="s">
        <v>44</v>
      </c>
      <c r="K33" s="94"/>
      <c r="L33" s="88"/>
      <c r="M33" s="90"/>
      <c r="N33" s="92"/>
    </row>
    <row r="34" spans="1:14" x14ac:dyDescent="0.2">
      <c r="A34" s="110" t="s">
        <v>68</v>
      </c>
      <c r="B34" s="111"/>
      <c r="C34" s="112"/>
      <c r="D34" s="14">
        <v>418.24000000000007</v>
      </c>
      <c r="E34" s="15">
        <f>IF(F34="","",C$16-F34)</f>
        <v>418.24000000000007</v>
      </c>
      <c r="F34" s="14">
        <v>273.7</v>
      </c>
      <c r="G34" s="16">
        <v>410</v>
      </c>
      <c r="H34" s="16">
        <v>410</v>
      </c>
      <c r="I34" s="15">
        <f>IF(H34="","",C$14-H34)</f>
        <v>-405.24</v>
      </c>
      <c r="J34" s="32">
        <f>IF(OR(H34="",F34=""),"",E34-H34)</f>
        <v>8.2400000000000659</v>
      </c>
      <c r="K34" s="33"/>
      <c r="L34" s="10"/>
      <c r="M34" s="7"/>
      <c r="N34" s="11"/>
    </row>
    <row r="35" spans="1:14" x14ac:dyDescent="0.2">
      <c r="A35" s="113" t="s">
        <v>25</v>
      </c>
      <c r="B35" s="114"/>
      <c r="C35" s="115"/>
      <c r="D35" s="14">
        <v>428.24000000000007</v>
      </c>
      <c r="E35" s="15">
        <f t="shared" ref="E35:E49" si="0">IF(F35="","",C$16-F35)</f>
        <v>428.24000000000007</v>
      </c>
      <c r="F35" s="14">
        <v>263.7</v>
      </c>
      <c r="G35" s="16">
        <v>427</v>
      </c>
      <c r="H35" s="16">
        <v>427</v>
      </c>
      <c r="I35" s="15">
        <f t="shared" ref="I35:I49" si="1">IF(H35="","",C$14-H35)</f>
        <v>-422.24</v>
      </c>
      <c r="J35" s="32">
        <f t="shared" ref="J35:J49" si="2">IF(OR(H35="",F35=""),"",E35-H35)</f>
        <v>1.2400000000000659</v>
      </c>
      <c r="K35" s="33"/>
      <c r="L35" s="10"/>
      <c r="M35" s="7"/>
      <c r="N35" s="11"/>
    </row>
    <row r="36" spans="1:14" x14ac:dyDescent="0.2">
      <c r="A36" s="110" t="s">
        <v>70</v>
      </c>
      <c r="B36" s="111"/>
      <c r="C36" s="112"/>
      <c r="D36" s="14">
        <v>461.67000000000007</v>
      </c>
      <c r="E36" s="15">
        <f t="shared" si="0"/>
        <v>461.67000000000007</v>
      </c>
      <c r="F36" s="14">
        <v>230.27</v>
      </c>
      <c r="G36" s="16"/>
      <c r="H36" s="16"/>
      <c r="I36" s="15" t="str">
        <f t="shared" si="1"/>
        <v/>
      </c>
      <c r="J36" s="32" t="str">
        <f t="shared" si="2"/>
        <v/>
      </c>
      <c r="K36" s="33"/>
      <c r="L36" s="10"/>
      <c r="M36" s="7"/>
      <c r="N36" s="11"/>
    </row>
    <row r="37" spans="1:14" x14ac:dyDescent="0.2">
      <c r="A37" s="110" t="s">
        <v>69</v>
      </c>
      <c r="B37" s="111"/>
      <c r="C37" s="112"/>
      <c r="D37" s="14">
        <v>496.44000000000005</v>
      </c>
      <c r="E37" s="15">
        <f t="shared" si="0"/>
        <v>496.44000000000005</v>
      </c>
      <c r="F37" s="14">
        <v>195.5</v>
      </c>
      <c r="G37" s="16"/>
      <c r="H37" s="16"/>
      <c r="I37" s="15" t="str">
        <f t="shared" si="1"/>
        <v/>
      </c>
      <c r="J37" s="32" t="str">
        <f t="shared" si="2"/>
        <v/>
      </c>
      <c r="K37" s="33"/>
      <c r="L37" s="10"/>
      <c r="M37" s="7"/>
      <c r="N37" s="11"/>
    </row>
    <row r="38" spans="1:14" x14ac:dyDescent="0.2">
      <c r="A38" s="110" t="s">
        <v>71</v>
      </c>
      <c r="B38" s="111"/>
      <c r="C38" s="112"/>
      <c r="D38" s="14">
        <v>532.94000000000005</v>
      </c>
      <c r="E38" s="15">
        <f t="shared" si="0"/>
        <v>532.94000000000005</v>
      </c>
      <c r="F38" s="14">
        <v>159</v>
      </c>
      <c r="G38" s="16"/>
      <c r="H38" s="16"/>
      <c r="I38" s="15" t="str">
        <f t="shared" si="1"/>
        <v/>
      </c>
      <c r="J38" s="32" t="str">
        <f t="shared" si="2"/>
        <v/>
      </c>
      <c r="K38" s="33"/>
      <c r="L38" s="10"/>
      <c r="M38" s="7"/>
      <c r="N38" s="11"/>
    </row>
    <row r="39" spans="1:14" x14ac:dyDescent="0.2">
      <c r="A39" s="110" t="s">
        <v>84</v>
      </c>
      <c r="B39" s="111"/>
      <c r="C39" s="112"/>
      <c r="D39" s="14">
        <v>649.74</v>
      </c>
      <c r="E39" s="15">
        <f t="shared" si="0"/>
        <v>649.74</v>
      </c>
      <c r="F39" s="14">
        <v>42.2</v>
      </c>
      <c r="G39" s="16"/>
      <c r="H39" s="16"/>
      <c r="I39" s="15" t="str">
        <f t="shared" si="1"/>
        <v/>
      </c>
      <c r="J39" s="32" t="str">
        <f t="shared" si="2"/>
        <v/>
      </c>
      <c r="K39" s="33"/>
      <c r="L39" s="10"/>
      <c r="M39" s="7"/>
      <c r="N39" s="11"/>
    </row>
    <row r="40" spans="1:14" x14ac:dyDescent="0.2">
      <c r="A40" s="110" t="s">
        <v>85</v>
      </c>
      <c r="B40" s="111"/>
      <c r="C40" s="112"/>
      <c r="D40" s="14">
        <v>834.74</v>
      </c>
      <c r="E40" s="15">
        <f t="shared" si="0"/>
        <v>834.74</v>
      </c>
      <c r="F40" s="14">
        <v>-142.80000000000001</v>
      </c>
      <c r="G40" s="16"/>
      <c r="H40" s="16"/>
      <c r="I40" s="15" t="str">
        <f t="shared" si="1"/>
        <v/>
      </c>
      <c r="J40" s="32" t="str">
        <f t="shared" si="2"/>
        <v/>
      </c>
      <c r="K40" s="33"/>
      <c r="L40" s="10"/>
      <c r="M40" s="7"/>
      <c r="N40" s="11"/>
    </row>
    <row r="41" spans="1:14" x14ac:dyDescent="0.2">
      <c r="A41" s="110" t="s">
        <v>86</v>
      </c>
      <c r="B41" s="111"/>
      <c r="C41" s="112"/>
      <c r="D41" s="14">
        <v>838.74</v>
      </c>
      <c r="E41" s="15">
        <f t="shared" si="0"/>
        <v>838.74</v>
      </c>
      <c r="F41" s="14">
        <v>-146.80000000000001</v>
      </c>
      <c r="G41" s="16"/>
      <c r="H41" s="16"/>
      <c r="I41" s="15"/>
      <c r="J41" s="32" t="str">
        <f t="shared" ref="J41" si="3">IF(OR(H41="",F41=""),"",E41-H41)</f>
        <v/>
      </c>
      <c r="K41" s="33"/>
      <c r="L41" s="10"/>
      <c r="M41" s="7"/>
      <c r="N41" s="11"/>
    </row>
    <row r="42" spans="1:14" x14ac:dyDescent="0.2">
      <c r="A42" s="110" t="s">
        <v>87</v>
      </c>
      <c r="B42" s="111"/>
      <c r="C42" s="112"/>
      <c r="D42" s="14">
        <v>859.94</v>
      </c>
      <c r="E42" s="15">
        <f>IF(F42="","",C$16-F42)</f>
        <v>859.94</v>
      </c>
      <c r="F42" s="14">
        <v>-168</v>
      </c>
      <c r="G42" s="16"/>
      <c r="H42" s="16"/>
      <c r="I42" s="15" t="str">
        <f t="shared" si="1"/>
        <v/>
      </c>
      <c r="J42" s="32" t="str">
        <f t="shared" si="2"/>
        <v/>
      </c>
      <c r="K42" s="33"/>
      <c r="L42" s="10"/>
      <c r="M42" s="7"/>
      <c r="N42" s="11"/>
    </row>
    <row r="43" spans="1:14" x14ac:dyDescent="0.2">
      <c r="A43" s="110" t="s">
        <v>88</v>
      </c>
      <c r="B43" s="111"/>
      <c r="C43" s="112"/>
      <c r="D43" s="23">
        <v>868.94</v>
      </c>
      <c r="E43" s="15">
        <f t="shared" si="0"/>
        <v>868.94</v>
      </c>
      <c r="F43" s="23">
        <v>-177</v>
      </c>
      <c r="G43" s="24"/>
      <c r="H43" s="24"/>
      <c r="I43" s="15" t="str">
        <f t="shared" si="1"/>
        <v/>
      </c>
      <c r="J43" s="32" t="str">
        <f t="shared" si="2"/>
        <v/>
      </c>
      <c r="K43" s="33"/>
      <c r="L43" s="25"/>
      <c r="M43" s="26"/>
      <c r="N43" s="27"/>
    </row>
    <row r="44" spans="1:14" x14ac:dyDescent="0.2">
      <c r="A44" s="110" t="s">
        <v>89</v>
      </c>
      <c r="B44" s="111"/>
      <c r="C44" s="112"/>
      <c r="D44" s="23">
        <v>1048.94</v>
      </c>
      <c r="E44" s="15">
        <f t="shared" si="0"/>
        <v>1048.94</v>
      </c>
      <c r="F44" s="23">
        <v>-357</v>
      </c>
      <c r="G44" s="24"/>
      <c r="H44" s="24"/>
      <c r="I44" s="15"/>
      <c r="J44" s="32" t="str">
        <f t="shared" ref="J44:J47" si="4">IF(OR(H44="",F44=""),"",E44-H44)</f>
        <v/>
      </c>
      <c r="K44" s="33"/>
      <c r="L44" s="25"/>
      <c r="M44" s="26"/>
      <c r="N44" s="27"/>
    </row>
    <row r="45" spans="1:14" x14ac:dyDescent="0.2">
      <c r="A45" s="113" t="s">
        <v>27</v>
      </c>
      <c r="B45" s="114"/>
      <c r="C45" s="115"/>
      <c r="D45" s="23">
        <v>1048.94</v>
      </c>
      <c r="E45" s="15">
        <f t="shared" si="0"/>
        <v>1048.94</v>
      </c>
      <c r="F45" s="23">
        <v>-357</v>
      </c>
      <c r="G45" s="24"/>
      <c r="H45" s="24"/>
      <c r="I45" s="15"/>
      <c r="J45" s="32" t="str">
        <f t="shared" si="4"/>
        <v/>
      </c>
      <c r="K45" s="33"/>
      <c r="L45" s="25"/>
      <c r="M45" s="26"/>
      <c r="N45" s="27"/>
    </row>
    <row r="46" spans="1:14" x14ac:dyDescent="0.2">
      <c r="A46" s="113" t="s">
        <v>37</v>
      </c>
      <c r="B46" s="114"/>
      <c r="C46" s="115"/>
      <c r="D46" s="23">
        <v>1048.94</v>
      </c>
      <c r="E46" s="15">
        <f t="shared" si="0"/>
        <v>1048.94</v>
      </c>
      <c r="F46" s="23">
        <v>-357</v>
      </c>
      <c r="G46" s="24"/>
      <c r="H46" s="24"/>
      <c r="I46" s="15"/>
      <c r="J46" s="32" t="str">
        <f t="shared" si="4"/>
        <v/>
      </c>
      <c r="K46" s="33"/>
      <c r="L46" s="25"/>
      <c r="M46" s="26"/>
      <c r="N46" s="27"/>
    </row>
    <row r="47" spans="1:14" x14ac:dyDescent="0.2">
      <c r="A47" s="110" t="s">
        <v>90</v>
      </c>
      <c r="B47" s="111"/>
      <c r="C47" s="112"/>
      <c r="D47" s="23">
        <v>1055.94</v>
      </c>
      <c r="E47" s="15">
        <f t="shared" si="0"/>
        <v>1055.94</v>
      </c>
      <c r="F47" s="23">
        <v>-364</v>
      </c>
      <c r="G47" s="24"/>
      <c r="H47" s="24"/>
      <c r="I47" s="15"/>
      <c r="J47" s="32" t="str">
        <f t="shared" si="4"/>
        <v/>
      </c>
      <c r="K47" s="33"/>
      <c r="L47" s="25"/>
      <c r="M47" s="26"/>
      <c r="N47" s="27"/>
    </row>
    <row r="48" spans="1:14" x14ac:dyDescent="0.2">
      <c r="A48" s="110" t="s">
        <v>91</v>
      </c>
      <c r="B48" s="111"/>
      <c r="C48" s="112"/>
      <c r="D48" s="23">
        <v>1105.94</v>
      </c>
      <c r="E48" s="15">
        <f t="shared" si="0"/>
        <v>1105.94</v>
      </c>
      <c r="F48" s="23">
        <v>-414</v>
      </c>
      <c r="G48" s="24"/>
      <c r="H48" s="24"/>
      <c r="I48" s="15" t="str">
        <f t="shared" si="1"/>
        <v/>
      </c>
      <c r="J48" s="32" t="str">
        <f t="shared" si="2"/>
        <v/>
      </c>
      <c r="K48" s="33"/>
      <c r="L48" s="25"/>
      <c r="M48" s="26"/>
      <c r="N48" s="27"/>
    </row>
    <row r="49" spans="1:14" ht="16" thickBot="1" x14ac:dyDescent="0.25">
      <c r="A49" s="136" t="s">
        <v>38</v>
      </c>
      <c r="B49" s="137"/>
      <c r="C49" s="138"/>
      <c r="D49" s="23">
        <v>1118.94</v>
      </c>
      <c r="E49" s="15">
        <f t="shared" si="0"/>
        <v>1118.94</v>
      </c>
      <c r="F49" s="17">
        <v>-427</v>
      </c>
      <c r="G49" s="19"/>
      <c r="H49" s="19"/>
      <c r="I49" s="18" t="str">
        <f t="shared" si="1"/>
        <v/>
      </c>
      <c r="J49" s="139" t="str">
        <f t="shared" si="2"/>
        <v/>
      </c>
      <c r="K49" s="140"/>
      <c r="L49" s="12"/>
      <c r="M49" s="8"/>
      <c r="N49" s="13"/>
    </row>
    <row r="50" spans="1:14" x14ac:dyDescent="0.2">
      <c r="A50" s="70" t="s">
        <v>46</v>
      </c>
      <c r="B50" s="71"/>
      <c r="C50" s="71"/>
      <c r="D50" s="71"/>
      <c r="E50" s="71"/>
      <c r="F50" s="71"/>
      <c r="G50" s="71"/>
      <c r="H50" s="71"/>
      <c r="I50" s="71"/>
      <c r="J50" s="71"/>
      <c r="K50" s="71"/>
      <c r="L50" s="71"/>
      <c r="M50" s="71"/>
      <c r="N50" s="72"/>
    </row>
    <row r="51" spans="1:14" x14ac:dyDescent="0.2">
      <c r="A51" s="141" t="s">
        <v>47</v>
      </c>
      <c r="B51" s="69"/>
      <c r="C51" s="69"/>
      <c r="D51" s="69" t="s">
        <v>48</v>
      </c>
      <c r="E51" s="69"/>
      <c r="F51" s="69"/>
      <c r="G51" s="69" t="s">
        <v>49</v>
      </c>
      <c r="H51" s="69"/>
      <c r="I51" s="69" t="s">
        <v>58</v>
      </c>
      <c r="J51" s="69"/>
      <c r="K51" s="69" t="s">
        <v>50</v>
      </c>
      <c r="L51" s="69"/>
      <c r="M51" s="69" t="s">
        <v>51</v>
      </c>
      <c r="N51" s="142"/>
    </row>
    <row r="52" spans="1:14" x14ac:dyDescent="0.2">
      <c r="A52" s="132"/>
      <c r="B52" s="133"/>
      <c r="C52" s="133"/>
      <c r="D52" s="133"/>
      <c r="E52" s="133"/>
      <c r="F52" s="133"/>
      <c r="G52" s="134" t="str">
        <f>IF(D52="","",(D52/A52))</f>
        <v/>
      </c>
      <c r="H52" s="134"/>
      <c r="I52" s="133"/>
      <c r="J52" s="133"/>
      <c r="K52" s="68"/>
      <c r="L52" s="68"/>
      <c r="M52" s="68"/>
      <c r="N52" s="135"/>
    </row>
    <row r="53" spans="1:14" x14ac:dyDescent="0.2">
      <c r="A53" s="70" t="s">
        <v>52</v>
      </c>
      <c r="B53" s="71"/>
      <c r="C53" s="71"/>
      <c r="D53" s="71"/>
      <c r="E53" s="71"/>
      <c r="F53" s="71"/>
      <c r="G53" s="71"/>
      <c r="H53" s="71"/>
      <c r="I53" s="71"/>
      <c r="J53" s="71"/>
      <c r="K53" s="71"/>
      <c r="L53" s="71"/>
      <c r="M53" s="71"/>
      <c r="N53" s="72"/>
    </row>
    <row r="54" spans="1:14" x14ac:dyDescent="0.2">
      <c r="A54" s="126" t="s">
        <v>102</v>
      </c>
      <c r="B54" s="127"/>
      <c r="C54" s="127"/>
      <c r="D54" s="127"/>
      <c r="E54" s="127"/>
      <c r="F54" s="127"/>
      <c r="G54" s="127"/>
      <c r="H54" s="127"/>
      <c r="I54" s="127"/>
      <c r="J54" s="127"/>
      <c r="K54" s="127"/>
      <c r="L54" s="127"/>
      <c r="M54" s="127"/>
      <c r="N54" s="128"/>
    </row>
    <row r="55" spans="1:14" x14ac:dyDescent="0.2">
      <c r="A55" s="126"/>
      <c r="B55" s="127"/>
      <c r="C55" s="127"/>
      <c r="D55" s="127"/>
      <c r="E55" s="127"/>
      <c r="F55" s="127"/>
      <c r="G55" s="127"/>
      <c r="H55" s="127"/>
      <c r="I55" s="127"/>
      <c r="J55" s="127"/>
      <c r="K55" s="127"/>
      <c r="L55" s="127"/>
      <c r="M55" s="127"/>
      <c r="N55" s="128"/>
    </row>
    <row r="56" spans="1:14" x14ac:dyDescent="0.2">
      <c r="A56" s="126"/>
      <c r="B56" s="127"/>
      <c r="C56" s="127"/>
      <c r="D56" s="127"/>
      <c r="E56" s="127"/>
      <c r="F56" s="127"/>
      <c r="G56" s="127"/>
      <c r="H56" s="127"/>
      <c r="I56" s="127"/>
      <c r="J56" s="127"/>
      <c r="K56" s="127"/>
      <c r="L56" s="127"/>
      <c r="M56" s="127"/>
      <c r="N56" s="128"/>
    </row>
    <row r="57" spans="1:14" x14ac:dyDescent="0.2">
      <c r="A57" s="126"/>
      <c r="B57" s="127"/>
      <c r="C57" s="127"/>
      <c r="D57" s="127"/>
      <c r="E57" s="127"/>
      <c r="F57" s="127"/>
      <c r="G57" s="127"/>
      <c r="H57" s="127"/>
      <c r="I57" s="127"/>
      <c r="J57" s="127"/>
      <c r="K57" s="127"/>
      <c r="L57" s="127"/>
      <c r="M57" s="127"/>
      <c r="N57" s="128"/>
    </row>
    <row r="58" spans="1:14" x14ac:dyDescent="0.2">
      <c r="A58" s="126"/>
      <c r="B58" s="127"/>
      <c r="C58" s="127"/>
      <c r="D58" s="127"/>
      <c r="E58" s="127"/>
      <c r="F58" s="127"/>
      <c r="G58" s="127"/>
      <c r="H58" s="127"/>
      <c r="I58" s="127"/>
      <c r="J58" s="127"/>
      <c r="K58" s="127"/>
      <c r="L58" s="127"/>
      <c r="M58" s="127"/>
      <c r="N58" s="128"/>
    </row>
    <row r="59" spans="1:14" x14ac:dyDescent="0.2">
      <c r="A59" s="126"/>
      <c r="B59" s="127"/>
      <c r="C59" s="127"/>
      <c r="D59" s="127"/>
      <c r="E59" s="127"/>
      <c r="F59" s="127"/>
      <c r="G59" s="127"/>
      <c r="H59" s="127"/>
      <c r="I59" s="127"/>
      <c r="J59" s="127"/>
      <c r="K59" s="127"/>
      <c r="L59" s="127"/>
      <c r="M59" s="127"/>
      <c r="N59" s="128"/>
    </row>
    <row r="60" spans="1:14" x14ac:dyDescent="0.2">
      <c r="A60" s="126"/>
      <c r="B60" s="127"/>
      <c r="C60" s="127"/>
      <c r="D60" s="127"/>
      <c r="E60" s="127"/>
      <c r="F60" s="127"/>
      <c r="G60" s="127"/>
      <c r="H60" s="127"/>
      <c r="I60" s="127"/>
      <c r="J60" s="127"/>
      <c r="K60" s="127"/>
      <c r="L60" s="127"/>
      <c r="M60" s="127"/>
      <c r="N60" s="128"/>
    </row>
    <row r="61" spans="1:14" x14ac:dyDescent="0.2">
      <c r="A61" s="126"/>
      <c r="B61" s="127"/>
      <c r="C61" s="127"/>
      <c r="D61" s="127"/>
      <c r="E61" s="127"/>
      <c r="F61" s="127"/>
      <c r="G61" s="127"/>
      <c r="H61" s="127"/>
      <c r="I61" s="127"/>
      <c r="J61" s="127"/>
      <c r="K61" s="127"/>
      <c r="L61" s="127"/>
      <c r="M61" s="127"/>
      <c r="N61" s="128"/>
    </row>
    <row r="62" spans="1:14" x14ac:dyDescent="0.2">
      <c r="A62" s="126"/>
      <c r="B62" s="127"/>
      <c r="C62" s="127"/>
      <c r="D62" s="127"/>
      <c r="E62" s="127"/>
      <c r="F62" s="127"/>
      <c r="G62" s="127"/>
      <c r="H62" s="127"/>
      <c r="I62" s="127"/>
      <c r="J62" s="127"/>
      <c r="K62" s="127"/>
      <c r="L62" s="127"/>
      <c r="M62" s="127"/>
      <c r="N62" s="128"/>
    </row>
    <row r="63" spans="1:14" x14ac:dyDescent="0.2">
      <c r="A63" s="126"/>
      <c r="B63" s="127"/>
      <c r="C63" s="127"/>
      <c r="D63" s="127"/>
      <c r="E63" s="127"/>
      <c r="F63" s="127"/>
      <c r="G63" s="127"/>
      <c r="H63" s="127"/>
      <c r="I63" s="127"/>
      <c r="J63" s="127"/>
      <c r="K63" s="127"/>
      <c r="L63" s="127"/>
      <c r="M63" s="127"/>
      <c r="N63" s="128"/>
    </row>
    <row r="64" spans="1:14" x14ac:dyDescent="0.2">
      <c r="A64" s="126"/>
      <c r="B64" s="127"/>
      <c r="C64" s="127"/>
      <c r="D64" s="127"/>
      <c r="E64" s="127"/>
      <c r="F64" s="127"/>
      <c r="G64" s="127"/>
      <c r="H64" s="127"/>
      <c r="I64" s="127"/>
      <c r="J64" s="127"/>
      <c r="K64" s="127"/>
      <c r="L64" s="127"/>
      <c r="M64" s="127"/>
      <c r="N64" s="128"/>
    </row>
    <row r="65" spans="1:14" x14ac:dyDescent="0.2">
      <c r="A65" s="126"/>
      <c r="B65" s="127"/>
      <c r="C65" s="127"/>
      <c r="D65" s="127"/>
      <c r="E65" s="127"/>
      <c r="F65" s="127"/>
      <c r="G65" s="127"/>
      <c r="H65" s="127"/>
      <c r="I65" s="127"/>
      <c r="J65" s="127"/>
      <c r="K65" s="127"/>
      <c r="L65" s="127"/>
      <c r="M65" s="127"/>
      <c r="N65" s="128"/>
    </row>
    <row r="66" spans="1:14" x14ac:dyDescent="0.2">
      <c r="A66" s="126"/>
      <c r="B66" s="127"/>
      <c r="C66" s="127"/>
      <c r="D66" s="127"/>
      <c r="E66" s="127"/>
      <c r="F66" s="127"/>
      <c r="G66" s="127"/>
      <c r="H66" s="127"/>
      <c r="I66" s="127"/>
      <c r="J66" s="127"/>
      <c r="K66" s="127"/>
      <c r="L66" s="127"/>
      <c r="M66" s="127"/>
      <c r="N66" s="128"/>
    </row>
    <row r="67" spans="1:14" x14ac:dyDescent="0.2">
      <c r="A67" s="126"/>
      <c r="B67" s="127"/>
      <c r="C67" s="127"/>
      <c r="D67" s="127"/>
      <c r="E67" s="127"/>
      <c r="F67" s="127"/>
      <c r="G67" s="127"/>
      <c r="H67" s="127"/>
      <c r="I67" s="127"/>
      <c r="J67" s="127"/>
      <c r="K67" s="127"/>
      <c r="L67" s="127"/>
      <c r="M67" s="127"/>
      <c r="N67" s="128"/>
    </row>
    <row r="68" spans="1:14" x14ac:dyDescent="0.2">
      <c r="A68" s="126"/>
      <c r="B68" s="127"/>
      <c r="C68" s="127"/>
      <c r="D68" s="127"/>
      <c r="E68" s="127"/>
      <c r="F68" s="127"/>
      <c r="G68" s="127"/>
      <c r="H68" s="127"/>
      <c r="I68" s="127"/>
      <c r="J68" s="127"/>
      <c r="K68" s="127"/>
      <c r="L68" s="127"/>
      <c r="M68" s="127"/>
      <c r="N68" s="128"/>
    </row>
    <row r="69" spans="1:14" x14ac:dyDescent="0.2">
      <c r="A69" s="126"/>
      <c r="B69" s="127"/>
      <c r="C69" s="127"/>
      <c r="D69" s="127"/>
      <c r="E69" s="127"/>
      <c r="F69" s="127"/>
      <c r="G69" s="127"/>
      <c r="H69" s="127"/>
      <c r="I69" s="127"/>
      <c r="J69" s="127"/>
      <c r="K69" s="127"/>
      <c r="L69" s="127"/>
      <c r="M69" s="127"/>
      <c r="N69" s="128"/>
    </row>
    <row r="70" spans="1:14" x14ac:dyDescent="0.2">
      <c r="A70" s="126"/>
      <c r="B70" s="127"/>
      <c r="C70" s="127"/>
      <c r="D70" s="127"/>
      <c r="E70" s="127"/>
      <c r="F70" s="127"/>
      <c r="G70" s="127"/>
      <c r="H70" s="127"/>
      <c r="I70" s="127"/>
      <c r="J70" s="127"/>
      <c r="K70" s="127"/>
      <c r="L70" s="127"/>
      <c r="M70" s="127"/>
      <c r="N70" s="128"/>
    </row>
    <row r="71" spans="1:14" x14ac:dyDescent="0.2">
      <c r="A71" s="126"/>
      <c r="B71" s="127"/>
      <c r="C71" s="127"/>
      <c r="D71" s="127"/>
      <c r="E71" s="127"/>
      <c r="F71" s="127"/>
      <c r="G71" s="127"/>
      <c r="H71" s="127"/>
      <c r="I71" s="127"/>
      <c r="J71" s="127"/>
      <c r="K71" s="127"/>
      <c r="L71" s="127"/>
      <c r="M71" s="127"/>
      <c r="N71" s="128"/>
    </row>
    <row r="72" spans="1:14" x14ac:dyDescent="0.2">
      <c r="A72" s="126"/>
      <c r="B72" s="127"/>
      <c r="C72" s="127"/>
      <c r="D72" s="127"/>
      <c r="E72" s="127"/>
      <c r="F72" s="127"/>
      <c r="G72" s="127"/>
      <c r="H72" s="127"/>
      <c r="I72" s="127"/>
      <c r="J72" s="127"/>
      <c r="K72" s="127"/>
      <c r="L72" s="127"/>
      <c r="M72" s="127"/>
      <c r="N72" s="128"/>
    </row>
    <row r="73" spans="1:14" x14ac:dyDescent="0.2">
      <c r="A73" s="126"/>
      <c r="B73" s="127"/>
      <c r="C73" s="127"/>
      <c r="D73" s="127"/>
      <c r="E73" s="127"/>
      <c r="F73" s="127"/>
      <c r="G73" s="127"/>
      <c r="H73" s="127"/>
      <c r="I73" s="127"/>
      <c r="J73" s="127"/>
      <c r="K73" s="127"/>
      <c r="L73" s="127"/>
      <c r="M73" s="127"/>
      <c r="N73" s="128"/>
    </row>
    <row r="74" spans="1:14" ht="16" thickBot="1" x14ac:dyDescent="0.25">
      <c r="A74" s="129"/>
      <c r="B74" s="130"/>
      <c r="C74" s="130"/>
      <c r="D74" s="130"/>
      <c r="E74" s="130"/>
      <c r="F74" s="130"/>
      <c r="G74" s="130"/>
      <c r="H74" s="130"/>
      <c r="I74" s="130"/>
      <c r="J74" s="130"/>
      <c r="K74" s="130"/>
      <c r="L74" s="130"/>
      <c r="M74" s="130"/>
      <c r="N74" s="131"/>
    </row>
    <row r="75" spans="1:14" x14ac:dyDescent="0.2">
      <c r="A75" s="1"/>
      <c r="B75" s="1"/>
      <c r="C75" s="1"/>
      <c r="D75" s="1"/>
      <c r="E75" s="1"/>
      <c r="F75" s="1"/>
      <c r="G75" s="1"/>
      <c r="H75" s="1"/>
      <c r="I75" s="1"/>
      <c r="J75" s="1"/>
      <c r="K75" s="1"/>
      <c r="L75" s="1"/>
      <c r="M75" s="1"/>
      <c r="N75" s="1"/>
    </row>
  </sheetData>
  <sheetProtection formatCells="0" formatColumns="0" formatRows="0" insertColumns="0" insertRows="0" insertHyperlinks="0" deleteColumns="0" deleteRows="0" sort="0" autoFilter="0" pivotTables="0"/>
  <mergeCells count="121">
    <mergeCell ref="A1:C3"/>
    <mergeCell ref="D1:K1"/>
    <mergeCell ref="M1:N1"/>
    <mergeCell ref="D2:K2"/>
    <mergeCell ref="L2:M2"/>
    <mergeCell ref="D3:K3"/>
    <mergeCell ref="L3:M3"/>
    <mergeCell ref="A6:B7"/>
    <mergeCell ref="C6:E7"/>
    <mergeCell ref="F6:G7"/>
    <mergeCell ref="I6:K6"/>
    <mergeCell ref="L6:N6"/>
    <mergeCell ref="I7:K7"/>
    <mergeCell ref="L7:N7"/>
    <mergeCell ref="A4:K4"/>
    <mergeCell ref="L4:N4"/>
    <mergeCell ref="A5:B5"/>
    <mergeCell ref="C5:E5"/>
    <mergeCell ref="F5:H5"/>
    <mergeCell ref="I5:K5"/>
    <mergeCell ref="L5:N5"/>
    <mergeCell ref="A10:N10"/>
    <mergeCell ref="A11:B11"/>
    <mergeCell ref="C11:D11"/>
    <mergeCell ref="E11:F11"/>
    <mergeCell ref="G11:I11"/>
    <mergeCell ref="J11:K11"/>
    <mergeCell ref="A8:B9"/>
    <mergeCell ref="C8:E9"/>
    <mergeCell ref="F8:G9"/>
    <mergeCell ref="I8:K8"/>
    <mergeCell ref="L8:N8"/>
    <mergeCell ref="I9:K9"/>
    <mergeCell ref="L9:N9"/>
    <mergeCell ref="A12:B12"/>
    <mergeCell ref="C12:D12"/>
    <mergeCell ref="E12:F12"/>
    <mergeCell ref="G12:I12"/>
    <mergeCell ref="J12:K12"/>
    <mergeCell ref="A13:B13"/>
    <mergeCell ref="C13:D13"/>
    <mergeCell ref="E13:F13"/>
    <mergeCell ref="G13:I13"/>
    <mergeCell ref="J13:K13"/>
    <mergeCell ref="A16:B16"/>
    <mergeCell ref="C16:D16"/>
    <mergeCell ref="E16:F16"/>
    <mergeCell ref="G16:I16"/>
    <mergeCell ref="J16:K16"/>
    <mergeCell ref="A17:N17"/>
    <mergeCell ref="A14:B14"/>
    <mergeCell ref="C14:D14"/>
    <mergeCell ref="E14:F14"/>
    <mergeCell ref="G14:I14"/>
    <mergeCell ref="J14:K14"/>
    <mergeCell ref="A15:B15"/>
    <mergeCell ref="C15:D15"/>
    <mergeCell ref="E15:F15"/>
    <mergeCell ref="G15:I15"/>
    <mergeCell ref="J15:K15"/>
    <mergeCell ref="A32:C33"/>
    <mergeCell ref="D32:F32"/>
    <mergeCell ref="G32:K32"/>
    <mergeCell ref="L32:L33"/>
    <mergeCell ref="M32:M33"/>
    <mergeCell ref="N32:N33"/>
    <mergeCell ref="J33:K33"/>
    <mergeCell ref="A18:N18"/>
    <mergeCell ref="A19:N19"/>
    <mergeCell ref="A20:N24"/>
    <mergeCell ref="A25:N25"/>
    <mergeCell ref="A26:N30"/>
    <mergeCell ref="A31:K31"/>
    <mergeCell ref="L31:N31"/>
    <mergeCell ref="A37:C37"/>
    <mergeCell ref="J37:K37"/>
    <mergeCell ref="A38:C38"/>
    <mergeCell ref="J38:K38"/>
    <mergeCell ref="A39:C39"/>
    <mergeCell ref="J39:K39"/>
    <mergeCell ref="A34:C34"/>
    <mergeCell ref="J34:K34"/>
    <mergeCell ref="A35:C35"/>
    <mergeCell ref="J35:K35"/>
    <mergeCell ref="A36:C36"/>
    <mergeCell ref="J36:K36"/>
    <mergeCell ref="A46:C46"/>
    <mergeCell ref="A47:C47"/>
    <mergeCell ref="A48:C48"/>
    <mergeCell ref="J48:K48"/>
    <mergeCell ref="A40:C40"/>
    <mergeCell ref="J40:K40"/>
    <mergeCell ref="A41:C41"/>
    <mergeCell ref="A42:C42"/>
    <mergeCell ref="J42:K42"/>
    <mergeCell ref="A43:C43"/>
    <mergeCell ref="J43:K43"/>
    <mergeCell ref="A53:N53"/>
    <mergeCell ref="A54:N74"/>
    <mergeCell ref="J41:K41"/>
    <mergeCell ref="J44:K44"/>
    <mergeCell ref="J45:K45"/>
    <mergeCell ref="J46:K46"/>
    <mergeCell ref="J47:K47"/>
    <mergeCell ref="A52:C52"/>
    <mergeCell ref="D52:F52"/>
    <mergeCell ref="G52:H52"/>
    <mergeCell ref="I52:J52"/>
    <mergeCell ref="K52:L52"/>
    <mergeCell ref="M52:N52"/>
    <mergeCell ref="A49:C49"/>
    <mergeCell ref="J49:K49"/>
    <mergeCell ref="A50:N50"/>
    <mergeCell ref="A51:C51"/>
    <mergeCell ref="D51:F51"/>
    <mergeCell ref="G51:H51"/>
    <mergeCell ref="I51:J51"/>
    <mergeCell ref="K51:L51"/>
    <mergeCell ref="M51:N51"/>
    <mergeCell ref="A44:C44"/>
    <mergeCell ref="A45:C45"/>
  </mergeCells>
  <conditionalFormatting sqref="D34:K41 F42:K47 D42:E49 F48:J48 F49:K49 G52:H52">
    <cfRule type="notContainsBlanks" dxfId="9" priority="3">
      <formula>LEN(TRIM(D34))&gt;0</formula>
    </cfRule>
  </conditionalFormatting>
  <conditionalFormatting sqref="I8:K9">
    <cfRule type="notContainsBlanks" dxfId="8" priority="1">
      <formula>LEN(TRIM(I8))&gt;0</formula>
    </cfRule>
  </conditionalFormatting>
  <conditionalFormatting sqref="M1:N1 D2:K3 N2:N3 I5:N7 C6:E9 L9:N9 C11:D16 G11:I16 A18:N18 A20:N24 A26:N30">
    <cfRule type="notContainsBlanks" dxfId="7" priority="2">
      <formula>LEN(TRIM(A1))&gt;0</formula>
    </cfRule>
  </conditionalFormatting>
  <dataValidations count="4">
    <dataValidation allowBlank="1" showInputMessage="1" showErrorMessage="1" prompt="Well Name Here" sqref="D2:K2" xr:uid="{EB222967-ED33-4AA1-93B5-5FC5ACEAC1F0}"/>
    <dataValidation allowBlank="1" showInputMessage="1" showErrorMessage="1" prompt="UWI Here" sqref="D3:K3" xr:uid="{08CFD733-DF4A-443E-B476-BDDB87ABBF72}"/>
    <dataValidation allowBlank="1" showInputMessage="1" showErrorMessage="1" prompt="Insert any additional comments &amp; photos if necessary " sqref="A54:N74" xr:uid="{1B21C7ED-B480-4910-AD75-8311B2126EB1}"/>
    <dataValidation type="list" allowBlank="1" showInputMessage="1" showErrorMessage="1" sqref="G15:I16" xr:uid="{9A6C36B0-5434-4519-A5AB-47B16923669B}">
      <formula1>$A$34:$A$49</formula1>
    </dataValidation>
  </dataValidations>
  <pageMargins left="0.7" right="0.7" top="0.75" bottom="0.75" header="0.3" footer="0.3"/>
  <pageSetup scale="5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39525-A9B5-4F9D-974C-9EEA656EA456}">
  <sheetPr>
    <pageSetUpPr fitToPage="1"/>
  </sheetPr>
  <dimension ref="A1:N75"/>
  <sheetViews>
    <sheetView zoomScaleNormal="100" workbookViewId="0">
      <selection activeCell="G34" sqref="G34:H35"/>
    </sheetView>
  </sheetViews>
  <sheetFormatPr baseColWidth="10" defaultColWidth="8.83203125" defaultRowHeight="15" x14ac:dyDescent="0.2"/>
  <cols>
    <col min="1" max="3" width="10.6640625" customWidth="1"/>
    <col min="4" max="4" width="12" customWidth="1"/>
    <col min="5" max="13" width="10.6640625" customWidth="1"/>
    <col min="14" max="14" width="13.5" customWidth="1"/>
  </cols>
  <sheetData>
    <row r="1" spans="1:14" ht="22" x14ac:dyDescent="0.3">
      <c r="A1" s="34"/>
      <c r="B1" s="35"/>
      <c r="C1" s="35"/>
      <c r="D1" s="38" t="s">
        <v>0</v>
      </c>
      <c r="E1" s="39"/>
      <c r="F1" s="39"/>
      <c r="G1" s="39"/>
      <c r="H1" s="39"/>
      <c r="I1" s="39"/>
      <c r="J1" s="39"/>
      <c r="K1" s="40"/>
      <c r="L1" s="4" t="s">
        <v>7</v>
      </c>
      <c r="M1" s="41" t="s">
        <v>105</v>
      </c>
      <c r="N1" s="42"/>
    </row>
    <row r="2" spans="1:14" ht="21" customHeight="1" x14ac:dyDescent="0.3">
      <c r="A2" s="36"/>
      <c r="B2" s="37"/>
      <c r="C2" s="37"/>
      <c r="D2" s="43" t="s">
        <v>79</v>
      </c>
      <c r="E2" s="44"/>
      <c r="F2" s="44"/>
      <c r="G2" s="44"/>
      <c r="H2" s="44"/>
      <c r="I2" s="44"/>
      <c r="J2" s="44"/>
      <c r="K2" s="45"/>
      <c r="L2" s="46" t="s">
        <v>1</v>
      </c>
      <c r="M2" s="47"/>
      <c r="N2" s="21">
        <v>5</v>
      </c>
    </row>
    <row r="3" spans="1:14" ht="24.75" customHeight="1" thickBot="1" x14ac:dyDescent="0.35">
      <c r="A3" s="36"/>
      <c r="B3" s="37"/>
      <c r="C3" s="37"/>
      <c r="D3" s="48" t="s">
        <v>80</v>
      </c>
      <c r="E3" s="49"/>
      <c r="F3" s="49"/>
      <c r="G3" s="49"/>
      <c r="H3" s="49"/>
      <c r="I3" s="49"/>
      <c r="J3" s="49"/>
      <c r="K3" s="50"/>
      <c r="L3" s="51" t="s">
        <v>54</v>
      </c>
      <c r="M3" s="52"/>
      <c r="N3" s="22">
        <v>2</v>
      </c>
    </row>
    <row r="4" spans="1:14" x14ac:dyDescent="0.2">
      <c r="A4" s="63" t="s">
        <v>2</v>
      </c>
      <c r="B4" s="64"/>
      <c r="C4" s="64"/>
      <c r="D4" s="64"/>
      <c r="E4" s="64"/>
      <c r="F4" s="64"/>
      <c r="G4" s="64"/>
      <c r="H4" s="64"/>
      <c r="I4" s="64"/>
      <c r="J4" s="64"/>
      <c r="K4" s="64"/>
      <c r="L4" s="64" t="s">
        <v>60</v>
      </c>
      <c r="M4" s="64"/>
      <c r="N4" s="65"/>
    </row>
    <row r="5" spans="1:14" x14ac:dyDescent="0.2">
      <c r="A5" s="66" t="s">
        <v>3</v>
      </c>
      <c r="B5" s="67"/>
      <c r="C5" s="68" t="s">
        <v>4</v>
      </c>
      <c r="D5" s="68"/>
      <c r="E5" s="68"/>
      <c r="F5" s="69" t="s">
        <v>5</v>
      </c>
      <c r="G5" s="69"/>
      <c r="H5" s="69"/>
      <c r="I5" s="60" t="s">
        <v>75</v>
      </c>
      <c r="J5" s="60"/>
      <c r="K5" s="60"/>
      <c r="L5" s="60" t="s">
        <v>76</v>
      </c>
      <c r="M5" s="60"/>
      <c r="N5" s="62"/>
    </row>
    <row r="6" spans="1:14" x14ac:dyDescent="0.2">
      <c r="A6" s="56" t="s">
        <v>8</v>
      </c>
      <c r="B6" s="57"/>
      <c r="C6" s="58" t="s">
        <v>64</v>
      </c>
      <c r="D6" s="58"/>
      <c r="E6" s="58"/>
      <c r="F6" s="59" t="s">
        <v>6</v>
      </c>
      <c r="G6" s="59"/>
      <c r="H6" s="6" t="s">
        <v>11</v>
      </c>
      <c r="I6" s="60" t="s">
        <v>65</v>
      </c>
      <c r="J6" s="60"/>
      <c r="K6" s="60"/>
      <c r="L6" s="60" t="s">
        <v>73</v>
      </c>
      <c r="M6" s="60"/>
      <c r="N6" s="62"/>
    </row>
    <row r="7" spans="1:14" x14ac:dyDescent="0.2">
      <c r="A7" s="56"/>
      <c r="B7" s="57"/>
      <c r="C7" s="58"/>
      <c r="D7" s="58"/>
      <c r="E7" s="58"/>
      <c r="F7" s="59"/>
      <c r="G7" s="59"/>
      <c r="H7" s="6" t="s">
        <v>12</v>
      </c>
      <c r="I7" s="60" t="s">
        <v>66</v>
      </c>
      <c r="J7" s="60"/>
      <c r="K7" s="60"/>
      <c r="L7" s="60" t="s">
        <v>74</v>
      </c>
      <c r="M7" s="60"/>
      <c r="N7" s="62"/>
    </row>
    <row r="8" spans="1:14" x14ac:dyDescent="0.2">
      <c r="A8" s="82" t="s">
        <v>9</v>
      </c>
      <c r="B8" s="59"/>
      <c r="C8" s="58" t="s">
        <v>97</v>
      </c>
      <c r="D8" s="58"/>
      <c r="E8" s="58"/>
      <c r="F8" s="59" t="s">
        <v>10</v>
      </c>
      <c r="G8" s="59"/>
      <c r="H8" s="2" t="s">
        <v>11</v>
      </c>
      <c r="I8" s="60" t="s">
        <v>67</v>
      </c>
      <c r="J8" s="60"/>
      <c r="K8" s="60"/>
      <c r="L8" s="73" t="s">
        <v>53</v>
      </c>
      <c r="M8" s="74"/>
      <c r="N8" s="75"/>
    </row>
    <row r="9" spans="1:14" x14ac:dyDescent="0.2">
      <c r="A9" s="82"/>
      <c r="B9" s="59"/>
      <c r="C9" s="58"/>
      <c r="D9" s="58"/>
      <c r="E9" s="58"/>
      <c r="F9" s="59"/>
      <c r="G9" s="59"/>
      <c r="H9" s="2" t="s">
        <v>12</v>
      </c>
      <c r="I9" s="60" t="s">
        <v>81</v>
      </c>
      <c r="J9" s="60"/>
      <c r="K9" s="60"/>
      <c r="L9" s="58" t="s">
        <v>72</v>
      </c>
      <c r="M9" s="58"/>
      <c r="N9" s="77"/>
    </row>
    <row r="10" spans="1:14" x14ac:dyDescent="0.2">
      <c r="A10" s="70" t="s">
        <v>33</v>
      </c>
      <c r="B10" s="71"/>
      <c r="C10" s="71"/>
      <c r="D10" s="71"/>
      <c r="E10" s="71"/>
      <c r="F10" s="71"/>
      <c r="G10" s="71"/>
      <c r="H10" s="71"/>
      <c r="I10" s="71"/>
      <c r="J10" s="71"/>
      <c r="K10" s="71"/>
      <c r="L10" s="71"/>
      <c r="M10" s="71"/>
      <c r="N10" s="72"/>
    </row>
    <row r="11" spans="1:14" x14ac:dyDescent="0.2">
      <c r="A11" s="66" t="s">
        <v>13</v>
      </c>
      <c r="B11" s="67"/>
      <c r="C11" s="61" t="s">
        <v>82</v>
      </c>
      <c r="D11" s="60"/>
      <c r="E11" s="67" t="s">
        <v>61</v>
      </c>
      <c r="F11" s="67"/>
      <c r="G11" s="78">
        <v>427</v>
      </c>
      <c r="H11" s="78"/>
      <c r="I11" s="78"/>
      <c r="J11" s="69" t="s">
        <v>29</v>
      </c>
      <c r="K11" s="81"/>
      <c r="L11" s="3" t="s">
        <v>30</v>
      </c>
      <c r="M11" s="3" t="s">
        <v>31</v>
      </c>
      <c r="N11" s="5" t="s">
        <v>32</v>
      </c>
    </row>
    <row r="12" spans="1:14" x14ac:dyDescent="0.2">
      <c r="A12" s="66" t="s">
        <v>14</v>
      </c>
      <c r="B12" s="67"/>
      <c r="C12" s="60" t="s">
        <v>106</v>
      </c>
      <c r="D12" s="60"/>
      <c r="E12" s="67" t="s">
        <v>19</v>
      </c>
      <c r="F12" s="67"/>
      <c r="G12" s="78">
        <v>0</v>
      </c>
      <c r="H12" s="78"/>
      <c r="I12" s="78"/>
      <c r="J12" s="67" t="s">
        <v>24</v>
      </c>
      <c r="K12" s="67"/>
      <c r="L12" s="20">
        <v>311</v>
      </c>
      <c r="M12" s="20">
        <v>427</v>
      </c>
      <c r="N12" s="9" t="s">
        <v>77</v>
      </c>
    </row>
    <row r="13" spans="1:14" x14ac:dyDescent="0.2">
      <c r="A13" s="66" t="s">
        <v>15</v>
      </c>
      <c r="B13" s="67"/>
      <c r="C13" s="79">
        <v>46042</v>
      </c>
      <c r="D13" s="80"/>
      <c r="E13" s="67" t="s">
        <v>20</v>
      </c>
      <c r="F13" s="67"/>
      <c r="G13" s="60">
        <v>0</v>
      </c>
      <c r="H13" s="60"/>
      <c r="I13" s="60"/>
      <c r="J13" s="67" t="s">
        <v>25</v>
      </c>
      <c r="K13" s="67"/>
      <c r="L13" s="20">
        <v>224.5</v>
      </c>
      <c r="M13" s="20">
        <v>427</v>
      </c>
      <c r="N13" s="9" t="s">
        <v>77</v>
      </c>
    </row>
    <row r="14" spans="1:14" x14ac:dyDescent="0.2">
      <c r="A14" s="66" t="s">
        <v>16</v>
      </c>
      <c r="B14" s="67"/>
      <c r="C14" s="78">
        <v>4.76</v>
      </c>
      <c r="D14" s="78"/>
      <c r="E14" s="67" t="s">
        <v>21</v>
      </c>
      <c r="F14" s="67"/>
      <c r="G14" s="86">
        <v>0</v>
      </c>
      <c r="H14" s="86"/>
      <c r="I14" s="86"/>
      <c r="J14" s="67" t="s">
        <v>26</v>
      </c>
      <c r="K14" s="67"/>
      <c r="L14" s="20">
        <v>222</v>
      </c>
      <c r="M14" s="20"/>
      <c r="N14" s="9" t="s">
        <v>78</v>
      </c>
    </row>
    <row r="15" spans="1:14" x14ac:dyDescent="0.2">
      <c r="A15" s="66" t="s">
        <v>17</v>
      </c>
      <c r="B15" s="67"/>
      <c r="C15" s="78">
        <v>687.18</v>
      </c>
      <c r="D15" s="78"/>
      <c r="E15" s="67" t="s">
        <v>22</v>
      </c>
      <c r="F15" s="67"/>
      <c r="G15" s="60" t="s">
        <v>70</v>
      </c>
      <c r="H15" s="60"/>
      <c r="I15" s="60"/>
      <c r="J15" s="67" t="s">
        <v>27</v>
      </c>
      <c r="K15" s="67"/>
      <c r="L15" s="20">
        <v>164</v>
      </c>
      <c r="M15" s="20"/>
      <c r="N15" s="9" t="s">
        <v>78</v>
      </c>
    </row>
    <row r="16" spans="1:14" x14ac:dyDescent="0.2">
      <c r="A16" s="66" t="s">
        <v>18</v>
      </c>
      <c r="B16" s="67"/>
      <c r="C16" s="78">
        <v>691.94</v>
      </c>
      <c r="D16" s="78"/>
      <c r="E16" s="67" t="s">
        <v>23</v>
      </c>
      <c r="F16" s="67"/>
      <c r="G16" s="60" t="s">
        <v>38</v>
      </c>
      <c r="H16" s="60"/>
      <c r="I16" s="60"/>
      <c r="J16" s="67" t="s">
        <v>28</v>
      </c>
      <c r="K16" s="67"/>
      <c r="L16" s="20">
        <v>159</v>
      </c>
      <c r="M16" s="20"/>
      <c r="N16" s="9" t="s">
        <v>78</v>
      </c>
    </row>
    <row r="17" spans="1:14" ht="16" thickBot="1" x14ac:dyDescent="0.25">
      <c r="A17" s="83" t="s">
        <v>55</v>
      </c>
      <c r="B17" s="84"/>
      <c r="C17" s="84"/>
      <c r="D17" s="84"/>
      <c r="E17" s="84"/>
      <c r="F17" s="84"/>
      <c r="G17" s="84"/>
      <c r="H17" s="84"/>
      <c r="I17" s="84"/>
      <c r="J17" s="84"/>
      <c r="K17" s="84"/>
      <c r="L17" s="84"/>
      <c r="M17" s="84"/>
      <c r="N17" s="85"/>
    </row>
    <row r="18" spans="1:14" ht="16" thickBot="1" x14ac:dyDescent="0.25">
      <c r="A18" s="95" t="s">
        <v>113</v>
      </c>
      <c r="B18" s="96"/>
      <c r="C18" s="96"/>
      <c r="D18" s="96"/>
      <c r="E18" s="96"/>
      <c r="F18" s="96"/>
      <c r="G18" s="96"/>
      <c r="H18" s="96"/>
      <c r="I18" s="96"/>
      <c r="J18" s="96"/>
      <c r="K18" s="96"/>
      <c r="L18" s="96"/>
      <c r="M18" s="96"/>
      <c r="N18" s="97"/>
    </row>
    <row r="19" spans="1:14" ht="16" thickBot="1" x14ac:dyDescent="0.25">
      <c r="A19" s="98" t="s">
        <v>34</v>
      </c>
      <c r="B19" s="99"/>
      <c r="C19" s="99"/>
      <c r="D19" s="99"/>
      <c r="E19" s="99"/>
      <c r="F19" s="99"/>
      <c r="G19" s="99"/>
      <c r="H19" s="99"/>
      <c r="I19" s="99"/>
      <c r="J19" s="99"/>
      <c r="K19" s="99"/>
      <c r="L19" s="99"/>
      <c r="M19" s="99"/>
      <c r="N19" s="100"/>
    </row>
    <row r="20" spans="1:14" x14ac:dyDescent="0.2">
      <c r="A20" s="101" t="s">
        <v>114</v>
      </c>
      <c r="B20" s="102"/>
      <c r="C20" s="102"/>
      <c r="D20" s="102"/>
      <c r="E20" s="102"/>
      <c r="F20" s="102"/>
      <c r="G20" s="102"/>
      <c r="H20" s="102"/>
      <c r="I20" s="102"/>
      <c r="J20" s="102"/>
      <c r="K20" s="102"/>
      <c r="L20" s="102"/>
      <c r="M20" s="102"/>
      <c r="N20" s="103"/>
    </row>
    <row r="21" spans="1:14" x14ac:dyDescent="0.2">
      <c r="A21" s="104"/>
      <c r="B21" s="105"/>
      <c r="C21" s="105"/>
      <c r="D21" s="105"/>
      <c r="E21" s="105"/>
      <c r="F21" s="105"/>
      <c r="G21" s="105"/>
      <c r="H21" s="105"/>
      <c r="I21" s="105"/>
      <c r="J21" s="105"/>
      <c r="K21" s="105"/>
      <c r="L21" s="105"/>
      <c r="M21" s="105"/>
      <c r="N21" s="106"/>
    </row>
    <row r="22" spans="1:14" x14ac:dyDescent="0.2">
      <c r="A22" s="104"/>
      <c r="B22" s="105"/>
      <c r="C22" s="105"/>
      <c r="D22" s="105"/>
      <c r="E22" s="105"/>
      <c r="F22" s="105"/>
      <c r="G22" s="105"/>
      <c r="H22" s="105"/>
      <c r="I22" s="105"/>
      <c r="J22" s="105"/>
      <c r="K22" s="105"/>
      <c r="L22" s="105"/>
      <c r="M22" s="105"/>
      <c r="N22" s="106"/>
    </row>
    <row r="23" spans="1:14" x14ac:dyDescent="0.2">
      <c r="A23" s="104"/>
      <c r="B23" s="105"/>
      <c r="C23" s="105"/>
      <c r="D23" s="105"/>
      <c r="E23" s="105"/>
      <c r="F23" s="105"/>
      <c r="G23" s="105"/>
      <c r="H23" s="105"/>
      <c r="I23" s="105"/>
      <c r="J23" s="105"/>
      <c r="K23" s="105"/>
      <c r="L23" s="105"/>
      <c r="M23" s="105"/>
      <c r="N23" s="106"/>
    </row>
    <row r="24" spans="1:14" ht="16" thickBot="1" x14ac:dyDescent="0.25">
      <c r="A24" s="107"/>
      <c r="B24" s="108"/>
      <c r="C24" s="108"/>
      <c r="D24" s="108"/>
      <c r="E24" s="108"/>
      <c r="F24" s="108"/>
      <c r="G24" s="108"/>
      <c r="H24" s="108"/>
      <c r="I24" s="108"/>
      <c r="J24" s="108"/>
      <c r="K24" s="108"/>
      <c r="L24" s="108"/>
      <c r="M24" s="108"/>
      <c r="N24" s="109"/>
    </row>
    <row r="25" spans="1:14" ht="16" thickBot="1" x14ac:dyDescent="0.25">
      <c r="A25" s="98" t="s">
        <v>35</v>
      </c>
      <c r="B25" s="99"/>
      <c r="C25" s="99"/>
      <c r="D25" s="99"/>
      <c r="E25" s="99"/>
      <c r="F25" s="99"/>
      <c r="G25" s="99"/>
      <c r="H25" s="99"/>
      <c r="I25" s="99"/>
      <c r="J25" s="99"/>
      <c r="K25" s="99"/>
      <c r="L25" s="99"/>
      <c r="M25" s="99"/>
      <c r="N25" s="100"/>
    </row>
    <row r="26" spans="1:14" x14ac:dyDescent="0.2">
      <c r="A26" s="101" t="s">
        <v>115</v>
      </c>
      <c r="B26" s="102"/>
      <c r="C26" s="102"/>
      <c r="D26" s="102"/>
      <c r="E26" s="102"/>
      <c r="F26" s="102"/>
      <c r="G26" s="102"/>
      <c r="H26" s="102"/>
      <c r="I26" s="102"/>
      <c r="J26" s="102"/>
      <c r="K26" s="102"/>
      <c r="L26" s="102"/>
      <c r="M26" s="102"/>
      <c r="N26" s="103"/>
    </row>
    <row r="27" spans="1:14" x14ac:dyDescent="0.2">
      <c r="A27" s="104"/>
      <c r="B27" s="105"/>
      <c r="C27" s="105"/>
      <c r="D27" s="105"/>
      <c r="E27" s="105"/>
      <c r="F27" s="105"/>
      <c r="G27" s="105"/>
      <c r="H27" s="105"/>
      <c r="I27" s="105"/>
      <c r="J27" s="105"/>
      <c r="K27" s="105"/>
      <c r="L27" s="105"/>
      <c r="M27" s="105"/>
      <c r="N27" s="106"/>
    </row>
    <row r="28" spans="1:14" x14ac:dyDescent="0.2">
      <c r="A28" s="104"/>
      <c r="B28" s="105"/>
      <c r="C28" s="105"/>
      <c r="D28" s="105"/>
      <c r="E28" s="105"/>
      <c r="F28" s="105"/>
      <c r="G28" s="105"/>
      <c r="H28" s="105"/>
      <c r="I28" s="105"/>
      <c r="J28" s="105"/>
      <c r="K28" s="105"/>
      <c r="L28" s="105"/>
      <c r="M28" s="105"/>
      <c r="N28" s="106"/>
    </row>
    <row r="29" spans="1:14" x14ac:dyDescent="0.2">
      <c r="A29" s="104"/>
      <c r="B29" s="105"/>
      <c r="C29" s="105"/>
      <c r="D29" s="105"/>
      <c r="E29" s="105"/>
      <c r="F29" s="105"/>
      <c r="G29" s="105"/>
      <c r="H29" s="105"/>
      <c r="I29" s="105"/>
      <c r="J29" s="105"/>
      <c r="K29" s="105"/>
      <c r="L29" s="105"/>
      <c r="M29" s="105"/>
      <c r="N29" s="106"/>
    </row>
    <row r="30" spans="1:14" ht="16" thickBot="1" x14ac:dyDescent="0.25">
      <c r="A30" s="107"/>
      <c r="B30" s="108"/>
      <c r="C30" s="108"/>
      <c r="D30" s="108"/>
      <c r="E30" s="108"/>
      <c r="F30" s="108"/>
      <c r="G30" s="108"/>
      <c r="H30" s="108"/>
      <c r="I30" s="108"/>
      <c r="J30" s="108"/>
      <c r="K30" s="108"/>
      <c r="L30" s="108"/>
      <c r="M30" s="108"/>
      <c r="N30" s="109"/>
    </row>
    <row r="31" spans="1:14" ht="16" thickBot="1" x14ac:dyDescent="0.25">
      <c r="A31" s="98" t="s">
        <v>36</v>
      </c>
      <c r="B31" s="99"/>
      <c r="C31" s="99"/>
      <c r="D31" s="99"/>
      <c r="E31" s="99"/>
      <c r="F31" s="99"/>
      <c r="G31" s="99"/>
      <c r="H31" s="99"/>
      <c r="I31" s="99"/>
      <c r="J31" s="99"/>
      <c r="K31" s="100"/>
      <c r="L31" s="98" t="s">
        <v>56</v>
      </c>
      <c r="M31" s="99"/>
      <c r="N31" s="100"/>
    </row>
    <row r="32" spans="1:14" x14ac:dyDescent="0.2">
      <c r="A32" s="116" t="s">
        <v>45</v>
      </c>
      <c r="B32" s="117"/>
      <c r="C32" s="118"/>
      <c r="D32" s="122" t="s">
        <v>39</v>
      </c>
      <c r="E32" s="122"/>
      <c r="F32" s="122"/>
      <c r="G32" s="123" t="s">
        <v>42</v>
      </c>
      <c r="H32" s="124"/>
      <c r="I32" s="124"/>
      <c r="J32" s="124"/>
      <c r="K32" s="125"/>
      <c r="L32" s="87" t="s">
        <v>62</v>
      </c>
      <c r="M32" s="89" t="s">
        <v>59</v>
      </c>
      <c r="N32" s="91" t="s">
        <v>57</v>
      </c>
    </row>
    <row r="33" spans="1:14" x14ac:dyDescent="0.2">
      <c r="A33" s="119"/>
      <c r="B33" s="120"/>
      <c r="C33" s="121"/>
      <c r="D33" s="3" t="s">
        <v>41</v>
      </c>
      <c r="E33" s="3" t="s">
        <v>43</v>
      </c>
      <c r="F33" s="3" t="s">
        <v>63</v>
      </c>
      <c r="G33" s="3" t="s">
        <v>41</v>
      </c>
      <c r="H33" s="3" t="s">
        <v>40</v>
      </c>
      <c r="I33" s="3" t="s">
        <v>63</v>
      </c>
      <c r="J33" s="93" t="s">
        <v>44</v>
      </c>
      <c r="K33" s="94"/>
      <c r="L33" s="88"/>
      <c r="M33" s="90"/>
      <c r="N33" s="92"/>
    </row>
    <row r="34" spans="1:14" x14ac:dyDescent="0.2">
      <c r="A34" s="110" t="s">
        <v>68</v>
      </c>
      <c r="B34" s="111"/>
      <c r="C34" s="112"/>
      <c r="D34" s="14">
        <v>418.24000000000007</v>
      </c>
      <c r="E34" s="15">
        <f>IF(F34="","",C$16-F34)</f>
        <v>418.24000000000007</v>
      </c>
      <c r="F34" s="14">
        <v>273.7</v>
      </c>
      <c r="G34" s="16">
        <v>410</v>
      </c>
      <c r="H34" s="16">
        <v>410</v>
      </c>
      <c r="I34" s="15">
        <f>IF(H34="","",C$14-H34)</f>
        <v>-405.24</v>
      </c>
      <c r="J34" s="32">
        <f>IF(OR(H34="",F34=""),"",E34-H34)</f>
        <v>8.2400000000000659</v>
      </c>
      <c r="K34" s="33"/>
      <c r="L34" s="10"/>
      <c r="M34" s="7"/>
      <c r="N34" s="11"/>
    </row>
    <row r="35" spans="1:14" x14ac:dyDescent="0.2">
      <c r="A35" s="113" t="s">
        <v>25</v>
      </c>
      <c r="B35" s="114"/>
      <c r="C35" s="115"/>
      <c r="D35" s="14">
        <v>428.24000000000007</v>
      </c>
      <c r="E35" s="15">
        <f t="shared" ref="E35:E49" si="0">IF(F35="","",C$16-F35)</f>
        <v>428.24000000000007</v>
      </c>
      <c r="F35" s="14">
        <v>263.7</v>
      </c>
      <c r="G35" s="16">
        <v>427</v>
      </c>
      <c r="H35" s="16">
        <v>427</v>
      </c>
      <c r="I35" s="15">
        <f t="shared" ref="I35:I49" si="1">IF(H35="","",C$14-H35)</f>
        <v>-422.24</v>
      </c>
      <c r="J35" s="32">
        <f t="shared" ref="J35:J49" si="2">IF(OR(H35="",F35=""),"",E35-H35)</f>
        <v>1.2400000000000659</v>
      </c>
      <c r="K35" s="33"/>
      <c r="L35" s="10"/>
      <c r="M35" s="7"/>
      <c r="N35" s="11"/>
    </row>
    <row r="36" spans="1:14" x14ac:dyDescent="0.2">
      <c r="A36" s="110" t="s">
        <v>70</v>
      </c>
      <c r="B36" s="111"/>
      <c r="C36" s="112"/>
      <c r="D36" s="14">
        <v>461.67000000000007</v>
      </c>
      <c r="E36" s="15">
        <f t="shared" si="0"/>
        <v>461.67000000000007</v>
      </c>
      <c r="F36" s="14">
        <v>230.27</v>
      </c>
      <c r="G36" s="16"/>
      <c r="H36" s="16"/>
      <c r="I36" s="15" t="str">
        <f t="shared" si="1"/>
        <v/>
      </c>
      <c r="J36" s="32" t="str">
        <f t="shared" si="2"/>
        <v/>
      </c>
      <c r="K36" s="33"/>
      <c r="L36" s="10"/>
      <c r="M36" s="7"/>
      <c r="N36" s="11"/>
    </row>
    <row r="37" spans="1:14" x14ac:dyDescent="0.2">
      <c r="A37" s="110" t="s">
        <v>69</v>
      </c>
      <c r="B37" s="111"/>
      <c r="C37" s="112"/>
      <c r="D37" s="14">
        <v>496.44000000000005</v>
      </c>
      <c r="E37" s="15">
        <f t="shared" si="0"/>
        <v>496.44000000000005</v>
      </c>
      <c r="F37" s="14">
        <v>195.5</v>
      </c>
      <c r="G37" s="16"/>
      <c r="H37" s="16"/>
      <c r="I37" s="15" t="str">
        <f t="shared" si="1"/>
        <v/>
      </c>
      <c r="J37" s="32" t="str">
        <f t="shared" si="2"/>
        <v/>
      </c>
      <c r="K37" s="33"/>
      <c r="L37" s="10"/>
      <c r="M37" s="7"/>
      <c r="N37" s="11"/>
    </row>
    <row r="38" spans="1:14" x14ac:dyDescent="0.2">
      <c r="A38" s="110" t="s">
        <v>71</v>
      </c>
      <c r="B38" s="111"/>
      <c r="C38" s="112"/>
      <c r="D38" s="14">
        <v>532.94000000000005</v>
      </c>
      <c r="E38" s="15">
        <f t="shared" si="0"/>
        <v>532.94000000000005</v>
      </c>
      <c r="F38" s="14">
        <v>159</v>
      </c>
      <c r="G38" s="16"/>
      <c r="H38" s="16"/>
      <c r="I38" s="15" t="str">
        <f t="shared" si="1"/>
        <v/>
      </c>
      <c r="J38" s="32" t="str">
        <f t="shared" si="2"/>
        <v/>
      </c>
      <c r="K38" s="33"/>
      <c r="L38" s="10"/>
      <c r="M38" s="7"/>
      <c r="N38" s="11"/>
    </row>
    <row r="39" spans="1:14" x14ac:dyDescent="0.2">
      <c r="A39" s="110" t="s">
        <v>84</v>
      </c>
      <c r="B39" s="111"/>
      <c r="C39" s="112"/>
      <c r="D39" s="14">
        <v>649.74</v>
      </c>
      <c r="E39" s="15">
        <f t="shared" si="0"/>
        <v>649.74</v>
      </c>
      <c r="F39" s="14">
        <v>42.2</v>
      </c>
      <c r="G39" s="16"/>
      <c r="H39" s="16"/>
      <c r="I39" s="15" t="str">
        <f t="shared" si="1"/>
        <v/>
      </c>
      <c r="J39" s="32" t="str">
        <f t="shared" si="2"/>
        <v/>
      </c>
      <c r="K39" s="33"/>
      <c r="L39" s="10"/>
      <c r="M39" s="7"/>
      <c r="N39" s="11"/>
    </row>
    <row r="40" spans="1:14" x14ac:dyDescent="0.2">
      <c r="A40" s="110" t="s">
        <v>85</v>
      </c>
      <c r="B40" s="111"/>
      <c r="C40" s="112"/>
      <c r="D40" s="14">
        <v>834.74</v>
      </c>
      <c r="E40" s="15">
        <f t="shared" si="0"/>
        <v>834.74</v>
      </c>
      <c r="F40" s="14">
        <v>-142.80000000000001</v>
      </c>
      <c r="G40" s="16"/>
      <c r="H40" s="16"/>
      <c r="I40" s="15" t="str">
        <f t="shared" si="1"/>
        <v/>
      </c>
      <c r="J40" s="32" t="str">
        <f t="shared" si="2"/>
        <v/>
      </c>
      <c r="K40" s="33"/>
      <c r="L40" s="10"/>
      <c r="M40" s="7"/>
      <c r="N40" s="11"/>
    </row>
    <row r="41" spans="1:14" x14ac:dyDescent="0.2">
      <c r="A41" s="110" t="s">
        <v>86</v>
      </c>
      <c r="B41" s="111"/>
      <c r="C41" s="112"/>
      <c r="D41" s="14">
        <v>838.74</v>
      </c>
      <c r="E41" s="15">
        <f t="shared" si="0"/>
        <v>838.74</v>
      </c>
      <c r="F41" s="14">
        <v>-146.80000000000001</v>
      </c>
      <c r="G41" s="16"/>
      <c r="H41" s="16"/>
      <c r="I41" s="15"/>
      <c r="J41" s="32" t="str">
        <f t="shared" ref="J41" si="3">IF(OR(H41="",F41=""),"",E41-H41)</f>
        <v/>
      </c>
      <c r="K41" s="33"/>
      <c r="L41" s="10"/>
      <c r="M41" s="7"/>
      <c r="N41" s="11"/>
    </row>
    <row r="42" spans="1:14" x14ac:dyDescent="0.2">
      <c r="A42" s="110" t="s">
        <v>87</v>
      </c>
      <c r="B42" s="111"/>
      <c r="C42" s="112"/>
      <c r="D42" s="14">
        <v>859.94</v>
      </c>
      <c r="E42" s="15">
        <f>IF(F42="","",C$16-F42)</f>
        <v>859.94</v>
      </c>
      <c r="F42" s="14">
        <v>-168</v>
      </c>
      <c r="G42" s="16"/>
      <c r="H42" s="16"/>
      <c r="I42" s="15" t="str">
        <f t="shared" si="1"/>
        <v/>
      </c>
      <c r="J42" s="32" t="str">
        <f t="shared" si="2"/>
        <v/>
      </c>
      <c r="K42" s="33"/>
      <c r="L42" s="10"/>
      <c r="M42" s="7"/>
      <c r="N42" s="11"/>
    </row>
    <row r="43" spans="1:14" x14ac:dyDescent="0.2">
      <c r="A43" s="110" t="s">
        <v>88</v>
      </c>
      <c r="B43" s="111"/>
      <c r="C43" s="112"/>
      <c r="D43" s="23">
        <v>868.94</v>
      </c>
      <c r="E43" s="15">
        <f t="shared" si="0"/>
        <v>868.94</v>
      </c>
      <c r="F43" s="23">
        <v>-177</v>
      </c>
      <c r="G43" s="24"/>
      <c r="H43" s="24"/>
      <c r="I43" s="15" t="str">
        <f t="shared" si="1"/>
        <v/>
      </c>
      <c r="J43" s="32" t="str">
        <f t="shared" si="2"/>
        <v/>
      </c>
      <c r="K43" s="33"/>
      <c r="L43" s="25"/>
      <c r="M43" s="26"/>
      <c r="N43" s="27"/>
    </row>
    <row r="44" spans="1:14" x14ac:dyDescent="0.2">
      <c r="A44" s="110" t="s">
        <v>89</v>
      </c>
      <c r="B44" s="111"/>
      <c r="C44" s="112"/>
      <c r="D44" s="23">
        <v>1048.94</v>
      </c>
      <c r="E44" s="15">
        <f t="shared" si="0"/>
        <v>1048.94</v>
      </c>
      <c r="F44" s="23">
        <v>-357</v>
      </c>
      <c r="G44" s="24"/>
      <c r="H44" s="24"/>
      <c r="I44" s="15"/>
      <c r="J44" s="32" t="str">
        <f t="shared" ref="J44:J47" si="4">IF(OR(H44="",F44=""),"",E44-H44)</f>
        <v/>
      </c>
      <c r="K44" s="33"/>
      <c r="L44" s="25"/>
      <c r="M44" s="26"/>
      <c r="N44" s="27"/>
    </row>
    <row r="45" spans="1:14" x14ac:dyDescent="0.2">
      <c r="A45" s="113" t="s">
        <v>27</v>
      </c>
      <c r="B45" s="114"/>
      <c r="C45" s="115"/>
      <c r="D45" s="23">
        <v>1048.94</v>
      </c>
      <c r="E45" s="15">
        <f t="shared" si="0"/>
        <v>1048.94</v>
      </c>
      <c r="F45" s="23">
        <v>-357</v>
      </c>
      <c r="G45" s="24"/>
      <c r="H45" s="24"/>
      <c r="I45" s="15"/>
      <c r="J45" s="32" t="str">
        <f t="shared" si="4"/>
        <v/>
      </c>
      <c r="K45" s="33"/>
      <c r="L45" s="25"/>
      <c r="M45" s="26"/>
      <c r="N45" s="27"/>
    </row>
    <row r="46" spans="1:14" x14ac:dyDescent="0.2">
      <c r="A46" s="113" t="s">
        <v>37</v>
      </c>
      <c r="B46" s="114"/>
      <c r="C46" s="115"/>
      <c r="D46" s="23">
        <v>1048.94</v>
      </c>
      <c r="E46" s="15">
        <f t="shared" si="0"/>
        <v>1048.94</v>
      </c>
      <c r="F46" s="23">
        <v>-357</v>
      </c>
      <c r="G46" s="24"/>
      <c r="H46" s="24"/>
      <c r="I46" s="15"/>
      <c r="J46" s="32" t="str">
        <f t="shared" si="4"/>
        <v/>
      </c>
      <c r="K46" s="33"/>
      <c r="L46" s="25"/>
      <c r="M46" s="26"/>
      <c r="N46" s="27"/>
    </row>
    <row r="47" spans="1:14" x14ac:dyDescent="0.2">
      <c r="A47" s="110" t="s">
        <v>90</v>
      </c>
      <c r="B47" s="111"/>
      <c r="C47" s="112"/>
      <c r="D47" s="23">
        <v>1055.94</v>
      </c>
      <c r="E47" s="15">
        <f t="shared" si="0"/>
        <v>1055.94</v>
      </c>
      <c r="F47" s="23">
        <v>-364</v>
      </c>
      <c r="G47" s="24"/>
      <c r="H47" s="24"/>
      <c r="I47" s="15"/>
      <c r="J47" s="32" t="str">
        <f t="shared" si="4"/>
        <v/>
      </c>
      <c r="K47" s="33"/>
      <c r="L47" s="25"/>
      <c r="M47" s="26"/>
      <c r="N47" s="27"/>
    </row>
    <row r="48" spans="1:14" x14ac:dyDescent="0.2">
      <c r="A48" s="110" t="s">
        <v>91</v>
      </c>
      <c r="B48" s="111"/>
      <c r="C48" s="112"/>
      <c r="D48" s="23">
        <v>1105.94</v>
      </c>
      <c r="E48" s="15">
        <f t="shared" si="0"/>
        <v>1105.94</v>
      </c>
      <c r="F48" s="23">
        <v>-414</v>
      </c>
      <c r="G48" s="24"/>
      <c r="H48" s="24"/>
      <c r="I48" s="15" t="str">
        <f t="shared" si="1"/>
        <v/>
      </c>
      <c r="J48" s="32" t="str">
        <f t="shared" si="2"/>
        <v/>
      </c>
      <c r="K48" s="33"/>
      <c r="L48" s="25"/>
      <c r="M48" s="26"/>
      <c r="N48" s="27"/>
    </row>
    <row r="49" spans="1:14" ht="16" thickBot="1" x14ac:dyDescent="0.25">
      <c r="A49" s="136" t="s">
        <v>38</v>
      </c>
      <c r="B49" s="137"/>
      <c r="C49" s="138"/>
      <c r="D49" s="23">
        <v>1118.94</v>
      </c>
      <c r="E49" s="15">
        <f t="shared" si="0"/>
        <v>1118.94</v>
      </c>
      <c r="F49" s="17">
        <v>-427</v>
      </c>
      <c r="G49" s="19"/>
      <c r="H49" s="19"/>
      <c r="I49" s="18" t="str">
        <f t="shared" si="1"/>
        <v/>
      </c>
      <c r="J49" s="139" t="str">
        <f t="shared" si="2"/>
        <v/>
      </c>
      <c r="K49" s="140"/>
      <c r="L49" s="12"/>
      <c r="M49" s="8"/>
      <c r="N49" s="13"/>
    </row>
    <row r="50" spans="1:14" x14ac:dyDescent="0.2">
      <c r="A50" s="70" t="s">
        <v>46</v>
      </c>
      <c r="B50" s="71"/>
      <c r="C50" s="71"/>
      <c r="D50" s="71"/>
      <c r="E50" s="71"/>
      <c r="F50" s="71"/>
      <c r="G50" s="71"/>
      <c r="H50" s="71"/>
      <c r="I50" s="71"/>
      <c r="J50" s="71"/>
      <c r="K50" s="71"/>
      <c r="L50" s="71"/>
      <c r="M50" s="71"/>
      <c r="N50" s="72"/>
    </row>
    <row r="51" spans="1:14" x14ac:dyDescent="0.2">
      <c r="A51" s="141" t="s">
        <v>47</v>
      </c>
      <c r="B51" s="69"/>
      <c r="C51" s="69"/>
      <c r="D51" s="69" t="s">
        <v>48</v>
      </c>
      <c r="E51" s="69"/>
      <c r="F51" s="69"/>
      <c r="G51" s="69" t="s">
        <v>49</v>
      </c>
      <c r="H51" s="69"/>
      <c r="I51" s="69" t="s">
        <v>58</v>
      </c>
      <c r="J51" s="69"/>
      <c r="K51" s="69" t="s">
        <v>50</v>
      </c>
      <c r="L51" s="69"/>
      <c r="M51" s="69" t="s">
        <v>51</v>
      </c>
      <c r="N51" s="142"/>
    </row>
    <row r="52" spans="1:14" x14ac:dyDescent="0.2">
      <c r="A52" s="132"/>
      <c r="B52" s="133"/>
      <c r="C52" s="133"/>
      <c r="D52" s="133"/>
      <c r="E52" s="133"/>
      <c r="F52" s="133"/>
      <c r="G52" s="134" t="str">
        <f>IF(D52="","",(D52/A52))</f>
        <v/>
      </c>
      <c r="H52" s="134"/>
      <c r="I52" s="133"/>
      <c r="J52" s="133"/>
      <c r="K52" s="68"/>
      <c r="L52" s="68"/>
      <c r="M52" s="68"/>
      <c r="N52" s="135"/>
    </row>
    <row r="53" spans="1:14" x14ac:dyDescent="0.2">
      <c r="A53" s="70" t="s">
        <v>52</v>
      </c>
      <c r="B53" s="71"/>
      <c r="C53" s="71"/>
      <c r="D53" s="71"/>
      <c r="E53" s="71"/>
      <c r="F53" s="71"/>
      <c r="G53" s="71"/>
      <c r="H53" s="71"/>
      <c r="I53" s="71"/>
      <c r="J53" s="71"/>
      <c r="K53" s="71"/>
      <c r="L53" s="71"/>
      <c r="M53" s="71"/>
      <c r="N53" s="72"/>
    </row>
    <row r="54" spans="1:14" x14ac:dyDescent="0.2">
      <c r="A54" s="126" t="s">
        <v>102</v>
      </c>
      <c r="B54" s="127"/>
      <c r="C54" s="127"/>
      <c r="D54" s="127"/>
      <c r="E54" s="127"/>
      <c r="F54" s="127"/>
      <c r="G54" s="127"/>
      <c r="H54" s="127"/>
      <c r="I54" s="127"/>
      <c r="J54" s="127"/>
      <c r="K54" s="127"/>
      <c r="L54" s="127"/>
      <c r="M54" s="127"/>
      <c r="N54" s="128"/>
    </row>
    <row r="55" spans="1:14" x14ac:dyDescent="0.2">
      <c r="A55" s="126"/>
      <c r="B55" s="127"/>
      <c r="C55" s="127"/>
      <c r="D55" s="127"/>
      <c r="E55" s="127"/>
      <c r="F55" s="127"/>
      <c r="G55" s="127"/>
      <c r="H55" s="127"/>
      <c r="I55" s="127"/>
      <c r="J55" s="127"/>
      <c r="K55" s="127"/>
      <c r="L55" s="127"/>
      <c r="M55" s="127"/>
      <c r="N55" s="128"/>
    </row>
    <row r="56" spans="1:14" x14ac:dyDescent="0.2">
      <c r="A56" s="126"/>
      <c r="B56" s="127"/>
      <c r="C56" s="127"/>
      <c r="D56" s="127"/>
      <c r="E56" s="127"/>
      <c r="F56" s="127"/>
      <c r="G56" s="127"/>
      <c r="H56" s="127"/>
      <c r="I56" s="127"/>
      <c r="J56" s="127"/>
      <c r="K56" s="127"/>
      <c r="L56" s="127"/>
      <c r="M56" s="127"/>
      <c r="N56" s="128"/>
    </row>
    <row r="57" spans="1:14" x14ac:dyDescent="0.2">
      <c r="A57" s="126"/>
      <c r="B57" s="127"/>
      <c r="C57" s="127"/>
      <c r="D57" s="127"/>
      <c r="E57" s="127"/>
      <c r="F57" s="127"/>
      <c r="G57" s="127"/>
      <c r="H57" s="127"/>
      <c r="I57" s="127"/>
      <c r="J57" s="127"/>
      <c r="K57" s="127"/>
      <c r="L57" s="127"/>
      <c r="M57" s="127"/>
      <c r="N57" s="128"/>
    </row>
    <row r="58" spans="1:14" x14ac:dyDescent="0.2">
      <c r="A58" s="126"/>
      <c r="B58" s="127"/>
      <c r="C58" s="127"/>
      <c r="D58" s="127"/>
      <c r="E58" s="127"/>
      <c r="F58" s="127"/>
      <c r="G58" s="127"/>
      <c r="H58" s="127"/>
      <c r="I58" s="127"/>
      <c r="J58" s="127"/>
      <c r="K58" s="127"/>
      <c r="L58" s="127"/>
      <c r="M58" s="127"/>
      <c r="N58" s="128"/>
    </row>
    <row r="59" spans="1:14" x14ac:dyDescent="0.2">
      <c r="A59" s="126"/>
      <c r="B59" s="127"/>
      <c r="C59" s="127"/>
      <c r="D59" s="127"/>
      <c r="E59" s="127"/>
      <c r="F59" s="127"/>
      <c r="G59" s="127"/>
      <c r="H59" s="127"/>
      <c r="I59" s="127"/>
      <c r="J59" s="127"/>
      <c r="K59" s="127"/>
      <c r="L59" s="127"/>
      <c r="M59" s="127"/>
      <c r="N59" s="128"/>
    </row>
    <row r="60" spans="1:14" x14ac:dyDescent="0.2">
      <c r="A60" s="126"/>
      <c r="B60" s="127"/>
      <c r="C60" s="127"/>
      <c r="D60" s="127"/>
      <c r="E60" s="127"/>
      <c r="F60" s="127"/>
      <c r="G60" s="127"/>
      <c r="H60" s="127"/>
      <c r="I60" s="127"/>
      <c r="J60" s="127"/>
      <c r="K60" s="127"/>
      <c r="L60" s="127"/>
      <c r="M60" s="127"/>
      <c r="N60" s="128"/>
    </row>
    <row r="61" spans="1:14" x14ac:dyDescent="0.2">
      <c r="A61" s="126"/>
      <c r="B61" s="127"/>
      <c r="C61" s="127"/>
      <c r="D61" s="127"/>
      <c r="E61" s="127"/>
      <c r="F61" s="127"/>
      <c r="G61" s="127"/>
      <c r="H61" s="127"/>
      <c r="I61" s="127"/>
      <c r="J61" s="127"/>
      <c r="K61" s="127"/>
      <c r="L61" s="127"/>
      <c r="M61" s="127"/>
      <c r="N61" s="128"/>
    </row>
    <row r="62" spans="1:14" x14ac:dyDescent="0.2">
      <c r="A62" s="126"/>
      <c r="B62" s="127"/>
      <c r="C62" s="127"/>
      <c r="D62" s="127"/>
      <c r="E62" s="127"/>
      <c r="F62" s="127"/>
      <c r="G62" s="127"/>
      <c r="H62" s="127"/>
      <c r="I62" s="127"/>
      <c r="J62" s="127"/>
      <c r="K62" s="127"/>
      <c r="L62" s="127"/>
      <c r="M62" s="127"/>
      <c r="N62" s="128"/>
    </row>
    <row r="63" spans="1:14" x14ac:dyDescent="0.2">
      <c r="A63" s="126"/>
      <c r="B63" s="127"/>
      <c r="C63" s="127"/>
      <c r="D63" s="127"/>
      <c r="E63" s="127"/>
      <c r="F63" s="127"/>
      <c r="G63" s="127"/>
      <c r="H63" s="127"/>
      <c r="I63" s="127"/>
      <c r="J63" s="127"/>
      <c r="K63" s="127"/>
      <c r="L63" s="127"/>
      <c r="M63" s="127"/>
      <c r="N63" s="128"/>
    </row>
    <row r="64" spans="1:14" x14ac:dyDescent="0.2">
      <c r="A64" s="126"/>
      <c r="B64" s="127"/>
      <c r="C64" s="127"/>
      <c r="D64" s="127"/>
      <c r="E64" s="127"/>
      <c r="F64" s="127"/>
      <c r="G64" s="127"/>
      <c r="H64" s="127"/>
      <c r="I64" s="127"/>
      <c r="J64" s="127"/>
      <c r="K64" s="127"/>
      <c r="L64" s="127"/>
      <c r="M64" s="127"/>
      <c r="N64" s="128"/>
    </row>
    <row r="65" spans="1:14" x14ac:dyDescent="0.2">
      <c r="A65" s="126"/>
      <c r="B65" s="127"/>
      <c r="C65" s="127"/>
      <c r="D65" s="127"/>
      <c r="E65" s="127"/>
      <c r="F65" s="127"/>
      <c r="G65" s="127"/>
      <c r="H65" s="127"/>
      <c r="I65" s="127"/>
      <c r="J65" s="127"/>
      <c r="K65" s="127"/>
      <c r="L65" s="127"/>
      <c r="M65" s="127"/>
      <c r="N65" s="128"/>
    </row>
    <row r="66" spans="1:14" x14ac:dyDescent="0.2">
      <c r="A66" s="126"/>
      <c r="B66" s="127"/>
      <c r="C66" s="127"/>
      <c r="D66" s="127"/>
      <c r="E66" s="127"/>
      <c r="F66" s="127"/>
      <c r="G66" s="127"/>
      <c r="H66" s="127"/>
      <c r="I66" s="127"/>
      <c r="J66" s="127"/>
      <c r="K66" s="127"/>
      <c r="L66" s="127"/>
      <c r="M66" s="127"/>
      <c r="N66" s="128"/>
    </row>
    <row r="67" spans="1:14" x14ac:dyDescent="0.2">
      <c r="A67" s="126"/>
      <c r="B67" s="127"/>
      <c r="C67" s="127"/>
      <c r="D67" s="127"/>
      <c r="E67" s="127"/>
      <c r="F67" s="127"/>
      <c r="G67" s="127"/>
      <c r="H67" s="127"/>
      <c r="I67" s="127"/>
      <c r="J67" s="127"/>
      <c r="K67" s="127"/>
      <c r="L67" s="127"/>
      <c r="M67" s="127"/>
      <c r="N67" s="128"/>
    </row>
    <row r="68" spans="1:14" x14ac:dyDescent="0.2">
      <c r="A68" s="126"/>
      <c r="B68" s="127"/>
      <c r="C68" s="127"/>
      <c r="D68" s="127"/>
      <c r="E68" s="127"/>
      <c r="F68" s="127"/>
      <c r="G68" s="127"/>
      <c r="H68" s="127"/>
      <c r="I68" s="127"/>
      <c r="J68" s="127"/>
      <c r="K68" s="127"/>
      <c r="L68" s="127"/>
      <c r="M68" s="127"/>
      <c r="N68" s="128"/>
    </row>
    <row r="69" spans="1:14" x14ac:dyDescent="0.2">
      <c r="A69" s="126"/>
      <c r="B69" s="127"/>
      <c r="C69" s="127"/>
      <c r="D69" s="127"/>
      <c r="E69" s="127"/>
      <c r="F69" s="127"/>
      <c r="G69" s="127"/>
      <c r="H69" s="127"/>
      <c r="I69" s="127"/>
      <c r="J69" s="127"/>
      <c r="K69" s="127"/>
      <c r="L69" s="127"/>
      <c r="M69" s="127"/>
      <c r="N69" s="128"/>
    </row>
    <row r="70" spans="1:14" x14ac:dyDescent="0.2">
      <c r="A70" s="126"/>
      <c r="B70" s="127"/>
      <c r="C70" s="127"/>
      <c r="D70" s="127"/>
      <c r="E70" s="127"/>
      <c r="F70" s="127"/>
      <c r="G70" s="127"/>
      <c r="H70" s="127"/>
      <c r="I70" s="127"/>
      <c r="J70" s="127"/>
      <c r="K70" s="127"/>
      <c r="L70" s="127"/>
      <c r="M70" s="127"/>
      <c r="N70" s="128"/>
    </row>
    <row r="71" spans="1:14" x14ac:dyDescent="0.2">
      <c r="A71" s="126"/>
      <c r="B71" s="127"/>
      <c r="C71" s="127"/>
      <c r="D71" s="127"/>
      <c r="E71" s="127"/>
      <c r="F71" s="127"/>
      <c r="G71" s="127"/>
      <c r="H71" s="127"/>
      <c r="I71" s="127"/>
      <c r="J71" s="127"/>
      <c r="K71" s="127"/>
      <c r="L71" s="127"/>
      <c r="M71" s="127"/>
      <c r="N71" s="128"/>
    </row>
    <row r="72" spans="1:14" x14ac:dyDescent="0.2">
      <c r="A72" s="126"/>
      <c r="B72" s="127"/>
      <c r="C72" s="127"/>
      <c r="D72" s="127"/>
      <c r="E72" s="127"/>
      <c r="F72" s="127"/>
      <c r="G72" s="127"/>
      <c r="H72" s="127"/>
      <c r="I72" s="127"/>
      <c r="J72" s="127"/>
      <c r="K72" s="127"/>
      <c r="L72" s="127"/>
      <c r="M72" s="127"/>
      <c r="N72" s="128"/>
    </row>
    <row r="73" spans="1:14" x14ac:dyDescent="0.2">
      <c r="A73" s="126"/>
      <c r="B73" s="127"/>
      <c r="C73" s="127"/>
      <c r="D73" s="127"/>
      <c r="E73" s="127"/>
      <c r="F73" s="127"/>
      <c r="G73" s="127"/>
      <c r="H73" s="127"/>
      <c r="I73" s="127"/>
      <c r="J73" s="127"/>
      <c r="K73" s="127"/>
      <c r="L73" s="127"/>
      <c r="M73" s="127"/>
      <c r="N73" s="128"/>
    </row>
    <row r="74" spans="1:14" ht="16" thickBot="1" x14ac:dyDescent="0.25">
      <c r="A74" s="129"/>
      <c r="B74" s="130"/>
      <c r="C74" s="130"/>
      <c r="D74" s="130"/>
      <c r="E74" s="130"/>
      <c r="F74" s="130"/>
      <c r="G74" s="130"/>
      <c r="H74" s="130"/>
      <c r="I74" s="130"/>
      <c r="J74" s="130"/>
      <c r="K74" s="130"/>
      <c r="L74" s="130"/>
      <c r="M74" s="130"/>
      <c r="N74" s="131"/>
    </row>
    <row r="75" spans="1:14" x14ac:dyDescent="0.2">
      <c r="A75" s="1"/>
      <c r="B75" s="1"/>
      <c r="C75" s="1"/>
      <c r="D75" s="1"/>
      <c r="E75" s="1"/>
      <c r="F75" s="1"/>
      <c r="G75" s="1"/>
      <c r="H75" s="1"/>
      <c r="I75" s="1"/>
      <c r="J75" s="1"/>
      <c r="K75" s="1"/>
      <c r="L75" s="1"/>
      <c r="M75" s="1"/>
      <c r="N75" s="1"/>
    </row>
  </sheetData>
  <sheetProtection formatCells="0" formatColumns="0" formatRows="0" insertColumns="0" insertRows="0" insertHyperlinks="0" deleteColumns="0" deleteRows="0" sort="0" autoFilter="0" pivotTables="0"/>
  <mergeCells count="121">
    <mergeCell ref="A1:C3"/>
    <mergeCell ref="D1:K1"/>
    <mergeCell ref="M1:N1"/>
    <mergeCell ref="D2:K2"/>
    <mergeCell ref="L2:M2"/>
    <mergeCell ref="D3:K3"/>
    <mergeCell ref="L3:M3"/>
    <mergeCell ref="A6:B7"/>
    <mergeCell ref="C6:E7"/>
    <mergeCell ref="F6:G7"/>
    <mergeCell ref="I6:K6"/>
    <mergeCell ref="L6:N6"/>
    <mergeCell ref="I7:K7"/>
    <mergeCell ref="L7:N7"/>
    <mergeCell ref="A4:K4"/>
    <mergeCell ref="L4:N4"/>
    <mergeCell ref="A5:B5"/>
    <mergeCell ref="C5:E5"/>
    <mergeCell ref="F5:H5"/>
    <mergeCell ref="I5:K5"/>
    <mergeCell ref="L5:N5"/>
    <mergeCell ref="A10:N10"/>
    <mergeCell ref="A11:B11"/>
    <mergeCell ref="C11:D11"/>
    <mergeCell ref="E11:F11"/>
    <mergeCell ref="G11:I11"/>
    <mergeCell ref="J11:K11"/>
    <mergeCell ref="A8:B9"/>
    <mergeCell ref="C8:E9"/>
    <mergeCell ref="F8:G9"/>
    <mergeCell ref="I8:K8"/>
    <mergeCell ref="L8:N8"/>
    <mergeCell ref="I9:K9"/>
    <mergeCell ref="L9:N9"/>
    <mergeCell ref="A12:B12"/>
    <mergeCell ref="C12:D12"/>
    <mergeCell ref="E12:F12"/>
    <mergeCell ref="G12:I12"/>
    <mergeCell ref="J12:K12"/>
    <mergeCell ref="A13:B13"/>
    <mergeCell ref="C13:D13"/>
    <mergeCell ref="E13:F13"/>
    <mergeCell ref="G13:I13"/>
    <mergeCell ref="J13:K13"/>
    <mergeCell ref="A16:B16"/>
    <mergeCell ref="C16:D16"/>
    <mergeCell ref="E16:F16"/>
    <mergeCell ref="G16:I16"/>
    <mergeCell ref="J16:K16"/>
    <mergeCell ref="A17:N17"/>
    <mergeCell ref="A14:B14"/>
    <mergeCell ref="C14:D14"/>
    <mergeCell ref="E14:F14"/>
    <mergeCell ref="G14:I14"/>
    <mergeCell ref="J14:K14"/>
    <mergeCell ref="A15:B15"/>
    <mergeCell ref="C15:D15"/>
    <mergeCell ref="E15:F15"/>
    <mergeCell ref="G15:I15"/>
    <mergeCell ref="J15:K15"/>
    <mergeCell ref="A32:C33"/>
    <mergeCell ref="D32:F32"/>
    <mergeCell ref="G32:K32"/>
    <mergeCell ref="L32:L33"/>
    <mergeCell ref="M32:M33"/>
    <mergeCell ref="N32:N33"/>
    <mergeCell ref="J33:K33"/>
    <mergeCell ref="A18:N18"/>
    <mergeCell ref="A19:N19"/>
    <mergeCell ref="A20:N24"/>
    <mergeCell ref="A25:N25"/>
    <mergeCell ref="A26:N30"/>
    <mergeCell ref="A31:K31"/>
    <mergeCell ref="L31:N31"/>
    <mergeCell ref="A37:C37"/>
    <mergeCell ref="J37:K37"/>
    <mergeCell ref="A38:C38"/>
    <mergeCell ref="J38:K38"/>
    <mergeCell ref="A39:C39"/>
    <mergeCell ref="J39:K39"/>
    <mergeCell ref="A34:C34"/>
    <mergeCell ref="J34:K34"/>
    <mergeCell ref="A35:C35"/>
    <mergeCell ref="J35:K35"/>
    <mergeCell ref="A36:C36"/>
    <mergeCell ref="J36:K36"/>
    <mergeCell ref="A46:C46"/>
    <mergeCell ref="A47:C47"/>
    <mergeCell ref="A48:C48"/>
    <mergeCell ref="J48:K48"/>
    <mergeCell ref="A40:C40"/>
    <mergeCell ref="J40:K40"/>
    <mergeCell ref="A41:C41"/>
    <mergeCell ref="A42:C42"/>
    <mergeCell ref="J42:K42"/>
    <mergeCell ref="A43:C43"/>
    <mergeCell ref="J43:K43"/>
    <mergeCell ref="A53:N53"/>
    <mergeCell ref="A54:N74"/>
    <mergeCell ref="J41:K41"/>
    <mergeCell ref="J44:K44"/>
    <mergeCell ref="J45:K45"/>
    <mergeCell ref="J46:K46"/>
    <mergeCell ref="J47:K47"/>
    <mergeCell ref="A52:C52"/>
    <mergeCell ref="D52:F52"/>
    <mergeCell ref="G52:H52"/>
    <mergeCell ref="I52:J52"/>
    <mergeCell ref="K52:L52"/>
    <mergeCell ref="M52:N52"/>
    <mergeCell ref="A49:C49"/>
    <mergeCell ref="J49:K49"/>
    <mergeCell ref="A50:N50"/>
    <mergeCell ref="A51:C51"/>
    <mergeCell ref="D51:F51"/>
    <mergeCell ref="G51:H51"/>
    <mergeCell ref="I51:J51"/>
    <mergeCell ref="K51:L51"/>
    <mergeCell ref="M51:N51"/>
    <mergeCell ref="A44:C44"/>
    <mergeCell ref="A45:C45"/>
  </mergeCells>
  <conditionalFormatting sqref="D34:K41 F42:K47 D42:E49 F48:J48 F49:K49 G52:H52">
    <cfRule type="notContainsBlanks" dxfId="6" priority="3">
      <formula>LEN(TRIM(D34))&gt;0</formula>
    </cfRule>
  </conditionalFormatting>
  <conditionalFormatting sqref="I8:K9">
    <cfRule type="notContainsBlanks" dxfId="5" priority="1">
      <formula>LEN(TRIM(I8))&gt;0</formula>
    </cfRule>
  </conditionalFormatting>
  <conditionalFormatting sqref="M1:N1 D2:K3 N2:N3 I5:N7 C6:E9 L9:N9 C11:D16 G11:I16 A18:N18 A20:N24 A26:N30">
    <cfRule type="notContainsBlanks" dxfId="4" priority="2">
      <formula>LEN(TRIM(A1))&gt;0</formula>
    </cfRule>
  </conditionalFormatting>
  <dataValidations count="4">
    <dataValidation type="list" allowBlank="1" showInputMessage="1" showErrorMessage="1" sqref="G15:I16" xr:uid="{15C04A64-E987-418B-B564-0CADA5553BCC}">
      <formula1>$A$34:$A$49</formula1>
    </dataValidation>
    <dataValidation allowBlank="1" showInputMessage="1" showErrorMessage="1" prompt="Insert any additional comments &amp; photos if necessary " sqref="A54:N74" xr:uid="{DE5090F5-A172-4615-A166-9799C7289721}"/>
    <dataValidation allowBlank="1" showInputMessage="1" showErrorMessage="1" prompt="UWI Here" sqref="D3:K3" xr:uid="{3918CA35-8746-4C07-846B-5713F26FC656}"/>
    <dataValidation allowBlank="1" showInputMessage="1" showErrorMessage="1" prompt="Well Name Here" sqref="D2:K2" xr:uid="{1978B5B7-5DA6-43F7-BB5C-14E548153F5C}"/>
  </dataValidations>
  <pageMargins left="0.7" right="0.7" top="0.75" bottom="0.75" header="0.3" footer="0.3"/>
  <pageSetup scale="5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4D371-D161-49D7-90F7-097B5B39A495}">
  <sheetPr>
    <pageSetUpPr fitToPage="1"/>
  </sheetPr>
  <dimension ref="A1:N78"/>
  <sheetViews>
    <sheetView tabSelected="1" topLeftCell="A34" zoomScaleNormal="100" workbookViewId="0">
      <selection activeCell="G15" sqref="G15:I15"/>
    </sheetView>
  </sheetViews>
  <sheetFormatPr baseColWidth="10" defaultColWidth="8.83203125" defaultRowHeight="15" x14ac:dyDescent="0.2"/>
  <cols>
    <col min="1" max="3" width="10.6640625" customWidth="1"/>
    <col min="4" max="4" width="12" customWidth="1"/>
    <col min="5" max="13" width="10.6640625" customWidth="1"/>
    <col min="14" max="14" width="13.5" customWidth="1"/>
  </cols>
  <sheetData>
    <row r="1" spans="1:14" ht="22" x14ac:dyDescent="0.3">
      <c r="A1" s="34"/>
      <c r="B1" s="35"/>
      <c r="C1" s="35"/>
      <c r="D1" s="38" t="s">
        <v>0</v>
      </c>
      <c r="E1" s="39"/>
      <c r="F1" s="39"/>
      <c r="G1" s="39"/>
      <c r="H1" s="39"/>
      <c r="I1" s="39"/>
      <c r="J1" s="39"/>
      <c r="K1" s="40"/>
      <c r="L1" s="4" t="s">
        <v>7</v>
      </c>
      <c r="M1" s="41"/>
      <c r="N1" s="42"/>
    </row>
    <row r="2" spans="1:14" ht="21" customHeight="1" x14ac:dyDescent="0.3">
      <c r="A2" s="36"/>
      <c r="B2" s="37"/>
      <c r="C2" s="37"/>
      <c r="D2" s="43"/>
      <c r="E2" s="44"/>
      <c r="F2" s="44"/>
      <c r="G2" s="44"/>
      <c r="H2" s="44"/>
      <c r="I2" s="44"/>
      <c r="J2" s="44"/>
      <c r="K2" s="45"/>
      <c r="L2" s="46" t="s">
        <v>1</v>
      </c>
      <c r="M2" s="47"/>
      <c r="N2" s="21"/>
    </row>
    <row r="3" spans="1:14" ht="24.75" customHeight="1" thickBot="1" x14ac:dyDescent="0.35">
      <c r="A3" s="36"/>
      <c r="B3" s="37"/>
      <c r="C3" s="37"/>
      <c r="D3" s="48"/>
      <c r="E3" s="49"/>
      <c r="F3" s="49"/>
      <c r="G3" s="49"/>
      <c r="H3" s="49"/>
      <c r="I3" s="49"/>
      <c r="J3" s="49"/>
      <c r="K3" s="50"/>
      <c r="L3" s="51" t="s">
        <v>54</v>
      </c>
      <c r="M3" s="52"/>
      <c r="N3" s="22"/>
    </row>
    <row r="4" spans="1:14" x14ac:dyDescent="0.2">
      <c r="A4" s="63" t="s">
        <v>2</v>
      </c>
      <c r="B4" s="64"/>
      <c r="C4" s="64"/>
      <c r="D4" s="64"/>
      <c r="E4" s="64"/>
      <c r="F4" s="64"/>
      <c r="G4" s="64"/>
      <c r="H4" s="64"/>
      <c r="I4" s="64"/>
      <c r="J4" s="64"/>
      <c r="K4" s="64"/>
      <c r="L4" s="64" t="s">
        <v>60</v>
      </c>
      <c r="M4" s="64"/>
      <c r="N4" s="65"/>
    </row>
    <row r="5" spans="1:14" x14ac:dyDescent="0.2">
      <c r="A5" s="66" t="s">
        <v>3</v>
      </c>
      <c r="B5" s="67"/>
      <c r="C5" s="68" t="s">
        <v>4</v>
      </c>
      <c r="D5" s="68"/>
      <c r="E5" s="68"/>
      <c r="F5" s="69" t="s">
        <v>5</v>
      </c>
      <c r="G5" s="69"/>
      <c r="H5" s="69"/>
      <c r="I5" s="60"/>
      <c r="J5" s="60"/>
      <c r="K5" s="60"/>
      <c r="L5" s="60"/>
      <c r="M5" s="60"/>
      <c r="N5" s="62"/>
    </row>
    <row r="6" spans="1:14" x14ac:dyDescent="0.2">
      <c r="A6" s="56" t="s">
        <v>8</v>
      </c>
      <c r="B6" s="57"/>
      <c r="C6" s="58" t="s">
        <v>64</v>
      </c>
      <c r="D6" s="58"/>
      <c r="E6" s="58"/>
      <c r="F6" s="59" t="s">
        <v>6</v>
      </c>
      <c r="G6" s="59"/>
      <c r="H6" s="6" t="s">
        <v>11</v>
      </c>
      <c r="I6" s="60"/>
      <c r="J6" s="60"/>
      <c r="K6" s="60"/>
      <c r="L6" s="61"/>
      <c r="M6" s="60"/>
      <c r="N6" s="62"/>
    </row>
    <row r="7" spans="1:14" x14ac:dyDescent="0.2">
      <c r="A7" s="56"/>
      <c r="B7" s="57"/>
      <c r="C7" s="58"/>
      <c r="D7" s="58"/>
      <c r="E7" s="58"/>
      <c r="F7" s="59"/>
      <c r="G7" s="59"/>
      <c r="H7" s="6" t="s">
        <v>12</v>
      </c>
      <c r="I7" s="60"/>
      <c r="J7" s="60"/>
      <c r="K7" s="60"/>
      <c r="L7" s="60"/>
      <c r="M7" s="60"/>
      <c r="N7" s="62"/>
    </row>
    <row r="8" spans="1:14" x14ac:dyDescent="0.2">
      <c r="A8" s="82" t="s">
        <v>9</v>
      </c>
      <c r="B8" s="59"/>
      <c r="C8" s="58"/>
      <c r="D8" s="58"/>
      <c r="E8" s="58"/>
      <c r="F8" s="59" t="s">
        <v>10</v>
      </c>
      <c r="G8" s="59"/>
      <c r="H8" s="2" t="s">
        <v>11</v>
      </c>
      <c r="I8" s="76"/>
      <c r="J8" s="76"/>
      <c r="K8" s="76"/>
      <c r="L8" s="73" t="s">
        <v>53</v>
      </c>
      <c r="M8" s="74"/>
      <c r="N8" s="75"/>
    </row>
    <row r="9" spans="1:14" x14ac:dyDescent="0.2">
      <c r="A9" s="82"/>
      <c r="B9" s="59"/>
      <c r="C9" s="58"/>
      <c r="D9" s="58"/>
      <c r="E9" s="58"/>
      <c r="F9" s="59"/>
      <c r="G9" s="59"/>
      <c r="H9" s="2" t="s">
        <v>12</v>
      </c>
      <c r="I9" s="76"/>
      <c r="J9" s="76"/>
      <c r="K9" s="76"/>
      <c r="L9" s="58"/>
      <c r="M9" s="58"/>
      <c r="N9" s="77"/>
    </row>
    <row r="10" spans="1:14" x14ac:dyDescent="0.2">
      <c r="A10" s="70" t="s">
        <v>33</v>
      </c>
      <c r="B10" s="71"/>
      <c r="C10" s="71"/>
      <c r="D10" s="71"/>
      <c r="E10" s="71"/>
      <c r="F10" s="71"/>
      <c r="G10" s="71"/>
      <c r="H10" s="71"/>
      <c r="I10" s="71"/>
      <c r="J10" s="71"/>
      <c r="K10" s="71"/>
      <c r="L10" s="71"/>
      <c r="M10" s="71"/>
      <c r="N10" s="72"/>
    </row>
    <row r="11" spans="1:14" x14ac:dyDescent="0.2">
      <c r="A11" s="66" t="s">
        <v>13</v>
      </c>
      <c r="B11" s="67"/>
      <c r="C11" s="61"/>
      <c r="D11" s="60"/>
      <c r="E11" s="67" t="s">
        <v>61</v>
      </c>
      <c r="F11" s="67"/>
      <c r="G11" s="78"/>
      <c r="H11" s="78"/>
      <c r="I11" s="78"/>
      <c r="J11" s="69" t="s">
        <v>29</v>
      </c>
      <c r="K11" s="81"/>
      <c r="L11" s="3" t="s">
        <v>30</v>
      </c>
      <c r="M11" s="3" t="s">
        <v>31</v>
      </c>
      <c r="N11" s="5" t="s">
        <v>32</v>
      </c>
    </row>
    <row r="12" spans="1:14" x14ac:dyDescent="0.2">
      <c r="A12" s="66" t="s">
        <v>14</v>
      </c>
      <c r="B12" s="67"/>
      <c r="C12" s="60"/>
      <c r="D12" s="60"/>
      <c r="E12" s="67" t="s">
        <v>19</v>
      </c>
      <c r="F12" s="67"/>
      <c r="G12" s="78"/>
      <c r="H12" s="78"/>
      <c r="I12" s="78"/>
      <c r="J12" s="67" t="s">
        <v>24</v>
      </c>
      <c r="K12" s="67"/>
      <c r="L12" s="20"/>
      <c r="M12" s="20"/>
      <c r="N12" s="9"/>
    </row>
    <row r="13" spans="1:14" x14ac:dyDescent="0.2">
      <c r="A13" s="66" t="s">
        <v>15</v>
      </c>
      <c r="B13" s="67"/>
      <c r="C13" s="79"/>
      <c r="D13" s="80"/>
      <c r="E13" s="67" t="s">
        <v>20</v>
      </c>
      <c r="F13" s="67"/>
      <c r="G13" s="60"/>
      <c r="H13" s="60"/>
      <c r="I13" s="60"/>
      <c r="J13" s="67" t="s">
        <v>25</v>
      </c>
      <c r="K13" s="67"/>
      <c r="L13" s="20"/>
      <c r="M13" s="20"/>
      <c r="N13" s="9"/>
    </row>
    <row r="14" spans="1:14" x14ac:dyDescent="0.2">
      <c r="A14" s="66" t="s">
        <v>16</v>
      </c>
      <c r="B14" s="67"/>
      <c r="C14" s="78"/>
      <c r="D14" s="78"/>
      <c r="E14" s="67" t="s">
        <v>21</v>
      </c>
      <c r="F14" s="67"/>
      <c r="G14" s="86" t="str">
        <f>IF(G13&gt;0,G12/G13,"")</f>
        <v/>
      </c>
      <c r="H14" s="86"/>
      <c r="I14" s="86"/>
      <c r="J14" s="67" t="s">
        <v>26</v>
      </c>
      <c r="K14" s="67"/>
      <c r="L14" s="20"/>
      <c r="M14" s="20"/>
      <c r="N14" s="9"/>
    </row>
    <row r="15" spans="1:14" x14ac:dyDescent="0.2">
      <c r="A15" s="66" t="s">
        <v>17</v>
      </c>
      <c r="B15" s="67"/>
      <c r="C15" s="78"/>
      <c r="D15" s="78"/>
      <c r="E15" s="67" t="s">
        <v>22</v>
      </c>
      <c r="F15" s="67"/>
      <c r="G15" s="60"/>
      <c r="H15" s="60"/>
      <c r="I15" s="60"/>
      <c r="J15" s="67" t="s">
        <v>27</v>
      </c>
      <c r="K15" s="67"/>
      <c r="L15" s="20"/>
      <c r="M15" s="20"/>
      <c r="N15" s="9"/>
    </row>
    <row r="16" spans="1:14" x14ac:dyDescent="0.2">
      <c r="A16" s="66" t="s">
        <v>18</v>
      </c>
      <c r="B16" s="67"/>
      <c r="C16" s="78"/>
      <c r="D16" s="78"/>
      <c r="E16" s="67" t="s">
        <v>23</v>
      </c>
      <c r="F16" s="67"/>
      <c r="G16" s="60"/>
      <c r="H16" s="60"/>
      <c r="I16" s="60"/>
      <c r="J16" s="67" t="s">
        <v>28</v>
      </c>
      <c r="K16" s="67"/>
      <c r="L16" s="20"/>
      <c r="M16" s="20"/>
      <c r="N16" s="9"/>
    </row>
    <row r="17" spans="1:14" ht="16" thickBot="1" x14ac:dyDescent="0.25">
      <c r="A17" s="83" t="s">
        <v>55</v>
      </c>
      <c r="B17" s="84"/>
      <c r="C17" s="84"/>
      <c r="D17" s="84"/>
      <c r="E17" s="84"/>
      <c r="F17" s="84"/>
      <c r="G17" s="84"/>
      <c r="H17" s="84"/>
      <c r="I17" s="84"/>
      <c r="J17" s="84"/>
      <c r="K17" s="84"/>
      <c r="L17" s="84"/>
      <c r="M17" s="84"/>
      <c r="N17" s="85"/>
    </row>
    <row r="18" spans="1:14" ht="16" thickBot="1" x14ac:dyDescent="0.25">
      <c r="A18" s="95"/>
      <c r="B18" s="96"/>
      <c r="C18" s="96"/>
      <c r="D18" s="96"/>
      <c r="E18" s="96"/>
      <c r="F18" s="96"/>
      <c r="G18" s="96"/>
      <c r="H18" s="96"/>
      <c r="I18" s="96"/>
      <c r="J18" s="96"/>
      <c r="K18" s="96"/>
      <c r="L18" s="96"/>
      <c r="M18" s="96"/>
      <c r="N18" s="97"/>
    </row>
    <row r="19" spans="1:14" ht="16" thickBot="1" x14ac:dyDescent="0.25">
      <c r="A19" s="98" t="s">
        <v>34</v>
      </c>
      <c r="B19" s="99"/>
      <c r="C19" s="99"/>
      <c r="D19" s="99"/>
      <c r="E19" s="99"/>
      <c r="F19" s="99"/>
      <c r="G19" s="99"/>
      <c r="H19" s="99"/>
      <c r="I19" s="99"/>
      <c r="J19" s="99"/>
      <c r="K19" s="99"/>
      <c r="L19" s="99"/>
      <c r="M19" s="99"/>
      <c r="N19" s="100"/>
    </row>
    <row r="20" spans="1:14" x14ac:dyDescent="0.2">
      <c r="A20" s="101"/>
      <c r="B20" s="102"/>
      <c r="C20" s="102"/>
      <c r="D20" s="102"/>
      <c r="E20" s="102"/>
      <c r="F20" s="102"/>
      <c r="G20" s="102"/>
      <c r="H20" s="102"/>
      <c r="I20" s="102"/>
      <c r="J20" s="102"/>
      <c r="K20" s="102"/>
      <c r="L20" s="102"/>
      <c r="M20" s="102"/>
      <c r="N20" s="103"/>
    </row>
    <row r="21" spans="1:14" x14ac:dyDescent="0.2">
      <c r="A21" s="104"/>
      <c r="B21" s="105"/>
      <c r="C21" s="105"/>
      <c r="D21" s="105"/>
      <c r="E21" s="105"/>
      <c r="F21" s="105"/>
      <c r="G21" s="105"/>
      <c r="H21" s="105"/>
      <c r="I21" s="105"/>
      <c r="J21" s="105"/>
      <c r="K21" s="105"/>
      <c r="L21" s="105"/>
      <c r="M21" s="105"/>
      <c r="N21" s="106"/>
    </row>
    <row r="22" spans="1:14" x14ac:dyDescent="0.2">
      <c r="A22" s="104"/>
      <c r="B22" s="105"/>
      <c r="C22" s="105"/>
      <c r="D22" s="105"/>
      <c r="E22" s="105"/>
      <c r="F22" s="105"/>
      <c r="G22" s="105"/>
      <c r="H22" s="105"/>
      <c r="I22" s="105"/>
      <c r="J22" s="105"/>
      <c r="K22" s="105"/>
      <c r="L22" s="105"/>
      <c r="M22" s="105"/>
      <c r="N22" s="106"/>
    </row>
    <row r="23" spans="1:14" x14ac:dyDescent="0.2">
      <c r="A23" s="104"/>
      <c r="B23" s="105"/>
      <c r="C23" s="105"/>
      <c r="D23" s="105"/>
      <c r="E23" s="105"/>
      <c r="F23" s="105"/>
      <c r="G23" s="105"/>
      <c r="H23" s="105"/>
      <c r="I23" s="105"/>
      <c r="J23" s="105"/>
      <c r="K23" s="105"/>
      <c r="L23" s="105"/>
      <c r="M23" s="105"/>
      <c r="N23" s="106"/>
    </row>
    <row r="24" spans="1:14" ht="16" thickBot="1" x14ac:dyDescent="0.25">
      <c r="A24" s="107"/>
      <c r="B24" s="108"/>
      <c r="C24" s="108"/>
      <c r="D24" s="108"/>
      <c r="E24" s="108"/>
      <c r="F24" s="108"/>
      <c r="G24" s="108"/>
      <c r="H24" s="108"/>
      <c r="I24" s="108"/>
      <c r="J24" s="108"/>
      <c r="K24" s="108"/>
      <c r="L24" s="108"/>
      <c r="M24" s="108"/>
      <c r="N24" s="109"/>
    </row>
    <row r="25" spans="1:14" ht="16" thickBot="1" x14ac:dyDescent="0.25">
      <c r="A25" s="98" t="s">
        <v>35</v>
      </c>
      <c r="B25" s="99"/>
      <c r="C25" s="99"/>
      <c r="D25" s="99"/>
      <c r="E25" s="99"/>
      <c r="F25" s="99"/>
      <c r="G25" s="99"/>
      <c r="H25" s="99"/>
      <c r="I25" s="99"/>
      <c r="J25" s="99"/>
      <c r="K25" s="99"/>
      <c r="L25" s="99"/>
      <c r="M25" s="99"/>
      <c r="N25" s="100"/>
    </row>
    <row r="26" spans="1:14" x14ac:dyDescent="0.2">
      <c r="A26" s="101"/>
      <c r="B26" s="102"/>
      <c r="C26" s="102"/>
      <c r="D26" s="102"/>
      <c r="E26" s="102"/>
      <c r="F26" s="102"/>
      <c r="G26" s="102"/>
      <c r="H26" s="102"/>
      <c r="I26" s="102"/>
      <c r="J26" s="102"/>
      <c r="K26" s="102"/>
      <c r="L26" s="102"/>
      <c r="M26" s="102"/>
      <c r="N26" s="103"/>
    </row>
    <row r="27" spans="1:14" x14ac:dyDescent="0.2">
      <c r="A27" s="104"/>
      <c r="B27" s="105"/>
      <c r="C27" s="105"/>
      <c r="D27" s="105"/>
      <c r="E27" s="105"/>
      <c r="F27" s="105"/>
      <c r="G27" s="105"/>
      <c r="H27" s="105"/>
      <c r="I27" s="105"/>
      <c r="J27" s="105"/>
      <c r="K27" s="105"/>
      <c r="L27" s="105"/>
      <c r="M27" s="105"/>
      <c r="N27" s="106"/>
    </row>
    <row r="28" spans="1:14" x14ac:dyDescent="0.2">
      <c r="A28" s="104"/>
      <c r="B28" s="105"/>
      <c r="C28" s="105"/>
      <c r="D28" s="105"/>
      <c r="E28" s="105"/>
      <c r="F28" s="105"/>
      <c r="G28" s="105"/>
      <c r="H28" s="105"/>
      <c r="I28" s="105"/>
      <c r="J28" s="105"/>
      <c r="K28" s="105"/>
      <c r="L28" s="105"/>
      <c r="M28" s="105"/>
      <c r="N28" s="106"/>
    </row>
    <row r="29" spans="1:14" x14ac:dyDescent="0.2">
      <c r="A29" s="104"/>
      <c r="B29" s="105"/>
      <c r="C29" s="105"/>
      <c r="D29" s="105"/>
      <c r="E29" s="105"/>
      <c r="F29" s="105"/>
      <c r="G29" s="105"/>
      <c r="H29" s="105"/>
      <c r="I29" s="105"/>
      <c r="J29" s="105"/>
      <c r="K29" s="105"/>
      <c r="L29" s="105"/>
      <c r="M29" s="105"/>
      <c r="N29" s="106"/>
    </row>
    <row r="30" spans="1:14" ht="16" thickBot="1" x14ac:dyDescent="0.25">
      <c r="A30" s="107"/>
      <c r="B30" s="108"/>
      <c r="C30" s="108"/>
      <c r="D30" s="108"/>
      <c r="E30" s="108"/>
      <c r="F30" s="108"/>
      <c r="G30" s="108"/>
      <c r="H30" s="108"/>
      <c r="I30" s="108"/>
      <c r="J30" s="108"/>
      <c r="K30" s="108"/>
      <c r="L30" s="108"/>
      <c r="M30" s="108"/>
      <c r="N30" s="109"/>
    </row>
    <row r="31" spans="1:14" ht="16" thickBot="1" x14ac:dyDescent="0.25">
      <c r="A31" s="98" t="s">
        <v>36</v>
      </c>
      <c r="B31" s="99"/>
      <c r="C31" s="99"/>
      <c r="D31" s="99"/>
      <c r="E31" s="99"/>
      <c r="F31" s="99"/>
      <c r="G31" s="99"/>
      <c r="H31" s="99"/>
      <c r="I31" s="99"/>
      <c r="J31" s="99"/>
      <c r="K31" s="100"/>
      <c r="L31" s="98" t="s">
        <v>56</v>
      </c>
      <c r="M31" s="99"/>
      <c r="N31" s="100"/>
    </row>
    <row r="32" spans="1:14" x14ac:dyDescent="0.2">
      <c r="A32" s="116" t="s">
        <v>45</v>
      </c>
      <c r="B32" s="117"/>
      <c r="C32" s="118"/>
      <c r="D32" s="122" t="s">
        <v>39</v>
      </c>
      <c r="E32" s="122"/>
      <c r="F32" s="122"/>
      <c r="G32" s="123" t="s">
        <v>42</v>
      </c>
      <c r="H32" s="124"/>
      <c r="I32" s="124"/>
      <c r="J32" s="124"/>
      <c r="K32" s="125"/>
      <c r="L32" s="87" t="s">
        <v>62</v>
      </c>
      <c r="M32" s="89" t="s">
        <v>59</v>
      </c>
      <c r="N32" s="91" t="s">
        <v>57</v>
      </c>
    </row>
    <row r="33" spans="1:14" x14ac:dyDescent="0.2">
      <c r="A33" s="119"/>
      <c r="B33" s="120"/>
      <c r="C33" s="121"/>
      <c r="D33" s="3" t="s">
        <v>41</v>
      </c>
      <c r="E33" s="3" t="s">
        <v>43</v>
      </c>
      <c r="F33" s="3" t="s">
        <v>63</v>
      </c>
      <c r="G33" s="3" t="s">
        <v>41</v>
      </c>
      <c r="H33" s="3" t="s">
        <v>40</v>
      </c>
      <c r="I33" s="3" t="s">
        <v>63</v>
      </c>
      <c r="J33" s="93" t="s">
        <v>44</v>
      </c>
      <c r="K33" s="94"/>
      <c r="L33" s="88"/>
      <c r="M33" s="90"/>
      <c r="N33" s="92"/>
    </row>
    <row r="34" spans="1:14" x14ac:dyDescent="0.2">
      <c r="A34" s="110"/>
      <c r="B34" s="111"/>
      <c r="C34" s="112"/>
      <c r="D34" s="14"/>
      <c r="E34" s="15"/>
      <c r="F34" s="14"/>
      <c r="G34" s="16"/>
      <c r="H34" s="16"/>
      <c r="I34" s="15"/>
      <c r="J34" s="32"/>
      <c r="K34" s="33"/>
      <c r="L34" s="10"/>
      <c r="M34" s="16"/>
      <c r="N34" s="11"/>
    </row>
    <row r="35" spans="1:14" x14ac:dyDescent="0.2">
      <c r="A35" s="113"/>
      <c r="B35" s="114"/>
      <c r="C35" s="115"/>
      <c r="D35" s="14"/>
      <c r="E35" s="15"/>
      <c r="F35" s="14"/>
      <c r="G35" s="16"/>
      <c r="H35" s="16"/>
      <c r="I35" s="15"/>
      <c r="J35" s="32"/>
      <c r="K35" s="33"/>
      <c r="L35" s="10"/>
      <c r="M35" s="16"/>
      <c r="N35" s="11"/>
    </row>
    <row r="36" spans="1:14" x14ac:dyDescent="0.2">
      <c r="A36" s="110"/>
      <c r="B36" s="111"/>
      <c r="C36" s="112"/>
      <c r="D36" s="14"/>
      <c r="E36" s="15"/>
      <c r="F36" s="14"/>
      <c r="G36" s="16"/>
      <c r="H36" s="16"/>
      <c r="I36" s="15"/>
      <c r="J36" s="32"/>
      <c r="K36" s="33"/>
      <c r="L36" s="10"/>
      <c r="M36" s="16"/>
      <c r="N36" s="11"/>
    </row>
    <row r="37" spans="1:14" x14ac:dyDescent="0.2">
      <c r="A37" s="110"/>
      <c r="B37" s="111"/>
      <c r="C37" s="112"/>
      <c r="D37" s="14"/>
      <c r="E37" s="15"/>
      <c r="F37" s="14"/>
      <c r="G37" s="16"/>
      <c r="H37" s="16"/>
      <c r="I37" s="15"/>
      <c r="J37" s="32"/>
      <c r="K37" s="33"/>
      <c r="L37" s="10"/>
      <c r="M37" s="16"/>
      <c r="N37" s="11"/>
    </row>
    <row r="38" spans="1:14" x14ac:dyDescent="0.2">
      <c r="A38" s="110"/>
      <c r="B38" s="111"/>
      <c r="C38" s="112"/>
      <c r="D38" s="14"/>
      <c r="E38" s="15"/>
      <c r="F38" s="14"/>
      <c r="G38" s="16"/>
      <c r="H38" s="16"/>
      <c r="I38" s="15"/>
      <c r="J38" s="32"/>
      <c r="K38" s="33"/>
      <c r="L38" s="10"/>
      <c r="M38" s="16"/>
      <c r="N38" s="11"/>
    </row>
    <row r="39" spans="1:14" x14ac:dyDescent="0.2">
      <c r="A39" s="110"/>
      <c r="B39" s="111"/>
      <c r="C39" s="112"/>
      <c r="D39" s="14"/>
      <c r="E39" s="15"/>
      <c r="F39" s="14"/>
      <c r="G39" s="16"/>
      <c r="H39" s="16"/>
      <c r="I39" s="15"/>
      <c r="J39" s="32"/>
      <c r="K39" s="33"/>
      <c r="L39" s="10"/>
      <c r="M39" s="16"/>
      <c r="N39" s="11"/>
    </row>
    <row r="40" spans="1:14" x14ac:dyDescent="0.2">
      <c r="A40" s="53"/>
      <c r="B40" s="54"/>
      <c r="C40" s="55"/>
      <c r="D40" s="14"/>
      <c r="E40" s="15"/>
      <c r="F40" s="14"/>
      <c r="G40" s="16"/>
      <c r="H40" s="16"/>
      <c r="I40" s="15"/>
      <c r="J40" s="32"/>
      <c r="K40" s="33"/>
      <c r="L40" s="10"/>
      <c r="M40" s="16"/>
      <c r="N40" s="11"/>
    </row>
    <row r="41" spans="1:14" x14ac:dyDescent="0.2">
      <c r="A41" s="110"/>
      <c r="B41" s="111"/>
      <c r="C41" s="112"/>
      <c r="D41" s="14"/>
      <c r="E41" s="15"/>
      <c r="F41" s="14"/>
      <c r="G41" s="16"/>
      <c r="H41" s="16"/>
      <c r="I41" s="15"/>
      <c r="J41" s="32"/>
      <c r="K41" s="33"/>
      <c r="L41" s="10"/>
      <c r="M41" s="16"/>
      <c r="N41" s="11"/>
    </row>
    <row r="42" spans="1:14" x14ac:dyDescent="0.2">
      <c r="A42" s="110"/>
      <c r="B42" s="111"/>
      <c r="C42" s="112"/>
      <c r="D42" s="14"/>
      <c r="E42" s="15"/>
      <c r="F42" s="14"/>
      <c r="G42" s="16"/>
      <c r="H42" s="16"/>
      <c r="I42" s="15"/>
      <c r="J42" s="32"/>
      <c r="K42" s="33"/>
      <c r="L42" s="10"/>
      <c r="M42" s="16"/>
      <c r="N42" s="11"/>
    </row>
    <row r="43" spans="1:14" x14ac:dyDescent="0.2">
      <c r="A43" s="110"/>
      <c r="B43" s="111"/>
      <c r="C43" s="112"/>
      <c r="D43" s="14"/>
      <c r="E43" s="15"/>
      <c r="F43" s="14"/>
      <c r="G43" s="16"/>
      <c r="H43" s="16"/>
      <c r="I43" s="15"/>
      <c r="J43" s="32"/>
      <c r="K43" s="33"/>
      <c r="L43" s="10"/>
      <c r="M43" s="16"/>
      <c r="N43" s="11"/>
    </row>
    <row r="44" spans="1:14" x14ac:dyDescent="0.2">
      <c r="A44" s="110"/>
      <c r="B44" s="111"/>
      <c r="C44" s="112"/>
      <c r="D44" s="23"/>
      <c r="E44" s="15"/>
      <c r="F44" s="23"/>
      <c r="G44" s="24"/>
      <c r="H44" s="24"/>
      <c r="I44" s="15"/>
      <c r="J44" s="32"/>
      <c r="K44" s="33"/>
      <c r="L44" s="25"/>
      <c r="M44" s="24"/>
      <c r="N44" s="27"/>
    </row>
    <row r="45" spans="1:14" x14ac:dyDescent="0.2">
      <c r="A45" s="110"/>
      <c r="B45" s="111"/>
      <c r="C45" s="112"/>
      <c r="D45" s="23"/>
      <c r="E45" s="15"/>
      <c r="F45" s="23"/>
      <c r="G45" s="24"/>
      <c r="H45" s="24"/>
      <c r="I45" s="15"/>
      <c r="J45" s="32"/>
      <c r="K45" s="33"/>
      <c r="L45" s="25"/>
      <c r="M45" s="24"/>
      <c r="N45" s="27"/>
    </row>
    <row r="46" spans="1:14" x14ac:dyDescent="0.2">
      <c r="A46" s="113"/>
      <c r="B46" s="114"/>
      <c r="C46" s="115"/>
      <c r="D46" s="23"/>
      <c r="E46" s="15"/>
      <c r="F46" s="23"/>
      <c r="G46" s="24"/>
      <c r="H46" s="24"/>
      <c r="I46" s="15"/>
      <c r="J46" s="32"/>
      <c r="K46" s="33"/>
      <c r="L46" s="25"/>
      <c r="M46" s="24"/>
      <c r="N46" s="27"/>
    </row>
    <row r="47" spans="1:14" x14ac:dyDescent="0.2">
      <c r="A47" s="113"/>
      <c r="B47" s="114"/>
      <c r="C47" s="115"/>
      <c r="D47" s="23"/>
      <c r="E47" s="15"/>
      <c r="F47" s="23"/>
      <c r="G47" s="24"/>
      <c r="H47" s="24"/>
      <c r="I47" s="15"/>
      <c r="J47" s="32"/>
      <c r="K47" s="33"/>
      <c r="L47" s="25"/>
      <c r="M47" s="26"/>
      <c r="N47" s="27"/>
    </row>
    <row r="48" spans="1:14" x14ac:dyDescent="0.2">
      <c r="A48" s="110"/>
      <c r="B48" s="111"/>
      <c r="C48" s="112"/>
      <c r="D48" s="23"/>
      <c r="E48" s="15"/>
      <c r="F48" s="23"/>
      <c r="G48" s="24"/>
      <c r="H48" s="24"/>
      <c r="I48" s="15"/>
      <c r="J48" s="32"/>
      <c r="K48" s="33"/>
      <c r="L48" s="25"/>
      <c r="M48" s="26"/>
      <c r="N48" s="27"/>
    </row>
    <row r="49" spans="1:14" x14ac:dyDescent="0.2">
      <c r="A49" s="110"/>
      <c r="B49" s="111"/>
      <c r="C49" s="112"/>
      <c r="D49" s="23"/>
      <c r="E49" s="15"/>
      <c r="F49" s="23"/>
      <c r="G49" s="24"/>
      <c r="H49" s="24"/>
      <c r="I49" s="15"/>
      <c r="J49" s="32"/>
      <c r="K49" s="33"/>
      <c r="L49" s="25"/>
      <c r="M49" s="26"/>
      <c r="N49" s="27"/>
    </row>
    <row r="50" spans="1:14" x14ac:dyDescent="0.2">
      <c r="A50" s="29"/>
      <c r="B50" s="30"/>
      <c r="C50" s="31"/>
      <c r="D50" s="23"/>
      <c r="E50" s="15"/>
      <c r="F50" s="23"/>
      <c r="G50" s="24"/>
      <c r="H50" s="24"/>
      <c r="I50" s="28"/>
      <c r="J50" s="32"/>
      <c r="K50" s="33"/>
      <c r="L50" s="25"/>
      <c r="M50" s="26"/>
      <c r="N50" s="27"/>
    </row>
    <row r="51" spans="1:14" x14ac:dyDescent="0.2">
      <c r="A51" s="29"/>
      <c r="B51" s="30"/>
      <c r="C51" s="31"/>
      <c r="D51" s="23"/>
      <c r="E51" s="28"/>
      <c r="F51" s="23"/>
      <c r="G51" s="24"/>
      <c r="H51" s="24"/>
      <c r="I51" s="28"/>
      <c r="J51" s="32"/>
      <c r="K51" s="33"/>
      <c r="L51" s="25"/>
      <c r="M51" s="26"/>
      <c r="N51" s="27"/>
    </row>
    <row r="52" spans="1:14" ht="16" thickBot="1" x14ac:dyDescent="0.25">
      <c r="A52" s="136"/>
      <c r="B52" s="137"/>
      <c r="C52" s="138"/>
      <c r="D52" s="17"/>
      <c r="E52" s="18"/>
      <c r="F52" s="17"/>
      <c r="G52" s="19"/>
      <c r="H52" s="19"/>
      <c r="I52" s="18"/>
      <c r="J52" s="139"/>
      <c r="K52" s="140"/>
      <c r="L52" s="12"/>
      <c r="M52" s="8"/>
      <c r="N52" s="13"/>
    </row>
    <row r="53" spans="1:14" x14ac:dyDescent="0.2">
      <c r="A53" s="70" t="s">
        <v>46</v>
      </c>
      <c r="B53" s="71"/>
      <c r="C53" s="71"/>
      <c r="D53" s="71"/>
      <c r="E53" s="71"/>
      <c r="F53" s="71"/>
      <c r="G53" s="71"/>
      <c r="H53" s="71"/>
      <c r="I53" s="71"/>
      <c r="J53" s="71"/>
      <c r="K53" s="71"/>
      <c r="L53" s="71"/>
      <c r="M53" s="71"/>
      <c r="N53" s="72"/>
    </row>
    <row r="54" spans="1:14" x14ac:dyDescent="0.2">
      <c r="A54" s="141" t="s">
        <v>47</v>
      </c>
      <c r="B54" s="69"/>
      <c r="C54" s="69"/>
      <c r="D54" s="69" t="s">
        <v>48</v>
      </c>
      <c r="E54" s="69"/>
      <c r="F54" s="69"/>
      <c r="G54" s="69" t="s">
        <v>49</v>
      </c>
      <c r="H54" s="69"/>
      <c r="I54" s="69" t="s">
        <v>58</v>
      </c>
      <c r="J54" s="69"/>
      <c r="K54" s="69" t="s">
        <v>50</v>
      </c>
      <c r="L54" s="69"/>
      <c r="M54" s="69" t="s">
        <v>51</v>
      </c>
      <c r="N54" s="142"/>
    </row>
    <row r="55" spans="1:14" x14ac:dyDescent="0.2">
      <c r="A55" s="132"/>
      <c r="B55" s="133"/>
      <c r="C55" s="133"/>
      <c r="D55" s="133"/>
      <c r="E55" s="133"/>
      <c r="F55" s="133"/>
      <c r="G55" s="134"/>
      <c r="H55" s="134"/>
      <c r="I55" s="133"/>
      <c r="J55" s="133"/>
      <c r="K55" s="68"/>
      <c r="L55" s="68"/>
      <c r="M55" s="68"/>
      <c r="N55" s="135"/>
    </row>
    <row r="56" spans="1:14" x14ac:dyDescent="0.2">
      <c r="A56" s="70" t="s">
        <v>52</v>
      </c>
      <c r="B56" s="71"/>
      <c r="C56" s="71"/>
      <c r="D56" s="71"/>
      <c r="E56" s="71"/>
      <c r="F56" s="71"/>
      <c r="G56" s="71"/>
      <c r="H56" s="71"/>
      <c r="I56" s="71"/>
      <c r="J56" s="71"/>
      <c r="K56" s="71"/>
      <c r="L56" s="71"/>
      <c r="M56" s="71"/>
      <c r="N56" s="72"/>
    </row>
    <row r="57" spans="1:14" x14ac:dyDescent="0.2">
      <c r="A57" s="126"/>
      <c r="B57" s="127"/>
      <c r="C57" s="127"/>
      <c r="D57" s="127"/>
      <c r="E57" s="127"/>
      <c r="F57" s="127"/>
      <c r="G57" s="127"/>
      <c r="H57" s="127"/>
      <c r="I57" s="127"/>
      <c r="J57" s="127"/>
      <c r="K57" s="127"/>
      <c r="L57" s="127"/>
      <c r="M57" s="127"/>
      <c r="N57" s="128"/>
    </row>
    <row r="58" spans="1:14" x14ac:dyDescent="0.2">
      <c r="A58" s="126"/>
      <c r="B58" s="127"/>
      <c r="C58" s="127"/>
      <c r="D58" s="127"/>
      <c r="E58" s="127"/>
      <c r="F58" s="127"/>
      <c r="G58" s="127"/>
      <c r="H58" s="127"/>
      <c r="I58" s="127"/>
      <c r="J58" s="127"/>
      <c r="K58" s="127"/>
      <c r="L58" s="127"/>
      <c r="M58" s="127"/>
      <c r="N58" s="128"/>
    </row>
    <row r="59" spans="1:14" x14ac:dyDescent="0.2">
      <c r="A59" s="126"/>
      <c r="B59" s="127"/>
      <c r="C59" s="127"/>
      <c r="D59" s="127"/>
      <c r="E59" s="127"/>
      <c r="F59" s="127"/>
      <c r="G59" s="127"/>
      <c r="H59" s="127"/>
      <c r="I59" s="127"/>
      <c r="J59" s="127"/>
      <c r="K59" s="127"/>
      <c r="L59" s="127"/>
      <c r="M59" s="127"/>
      <c r="N59" s="128"/>
    </row>
    <row r="60" spans="1:14" x14ac:dyDescent="0.2">
      <c r="A60" s="126"/>
      <c r="B60" s="127"/>
      <c r="C60" s="127"/>
      <c r="D60" s="127"/>
      <c r="E60" s="127"/>
      <c r="F60" s="127"/>
      <c r="G60" s="127"/>
      <c r="H60" s="127"/>
      <c r="I60" s="127"/>
      <c r="J60" s="127"/>
      <c r="K60" s="127"/>
      <c r="L60" s="127"/>
      <c r="M60" s="127"/>
      <c r="N60" s="128"/>
    </row>
    <row r="61" spans="1:14" x14ac:dyDescent="0.2">
      <c r="A61" s="126"/>
      <c r="B61" s="127"/>
      <c r="C61" s="127"/>
      <c r="D61" s="127"/>
      <c r="E61" s="127"/>
      <c r="F61" s="127"/>
      <c r="G61" s="127"/>
      <c r="H61" s="127"/>
      <c r="I61" s="127"/>
      <c r="J61" s="127"/>
      <c r="K61" s="127"/>
      <c r="L61" s="127"/>
      <c r="M61" s="127"/>
      <c r="N61" s="128"/>
    </row>
    <row r="62" spans="1:14" x14ac:dyDescent="0.2">
      <c r="A62" s="126"/>
      <c r="B62" s="127"/>
      <c r="C62" s="127"/>
      <c r="D62" s="127"/>
      <c r="E62" s="127"/>
      <c r="F62" s="127"/>
      <c r="G62" s="127"/>
      <c r="H62" s="127"/>
      <c r="I62" s="127"/>
      <c r="J62" s="127"/>
      <c r="K62" s="127"/>
      <c r="L62" s="127"/>
      <c r="M62" s="127"/>
      <c r="N62" s="128"/>
    </row>
    <row r="63" spans="1:14" x14ac:dyDescent="0.2">
      <c r="A63" s="126"/>
      <c r="B63" s="127"/>
      <c r="C63" s="127"/>
      <c r="D63" s="127"/>
      <c r="E63" s="127"/>
      <c r="F63" s="127"/>
      <c r="G63" s="127"/>
      <c r="H63" s="127"/>
      <c r="I63" s="127"/>
      <c r="J63" s="127"/>
      <c r="K63" s="127"/>
      <c r="L63" s="127"/>
      <c r="M63" s="127"/>
      <c r="N63" s="128"/>
    </row>
    <row r="64" spans="1:14" x14ac:dyDescent="0.2">
      <c r="A64" s="126"/>
      <c r="B64" s="127"/>
      <c r="C64" s="127"/>
      <c r="D64" s="127"/>
      <c r="E64" s="127"/>
      <c r="F64" s="127"/>
      <c r="G64" s="127"/>
      <c r="H64" s="127"/>
      <c r="I64" s="127"/>
      <c r="J64" s="127"/>
      <c r="K64" s="127"/>
      <c r="L64" s="127"/>
      <c r="M64" s="127"/>
      <c r="N64" s="128"/>
    </row>
    <row r="65" spans="1:14" x14ac:dyDescent="0.2">
      <c r="A65" s="126"/>
      <c r="B65" s="127"/>
      <c r="C65" s="127"/>
      <c r="D65" s="127"/>
      <c r="E65" s="127"/>
      <c r="F65" s="127"/>
      <c r="G65" s="127"/>
      <c r="H65" s="127"/>
      <c r="I65" s="127"/>
      <c r="J65" s="127"/>
      <c r="K65" s="127"/>
      <c r="L65" s="127"/>
      <c r="M65" s="127"/>
      <c r="N65" s="128"/>
    </row>
    <row r="66" spans="1:14" x14ac:dyDescent="0.2">
      <c r="A66" s="126"/>
      <c r="B66" s="127"/>
      <c r="C66" s="127"/>
      <c r="D66" s="127"/>
      <c r="E66" s="127"/>
      <c r="F66" s="127"/>
      <c r="G66" s="127"/>
      <c r="H66" s="127"/>
      <c r="I66" s="127"/>
      <c r="J66" s="127"/>
      <c r="K66" s="127"/>
      <c r="L66" s="127"/>
      <c r="M66" s="127"/>
      <c r="N66" s="128"/>
    </row>
    <row r="67" spans="1:14" x14ac:dyDescent="0.2">
      <c r="A67" s="126"/>
      <c r="B67" s="127"/>
      <c r="C67" s="127"/>
      <c r="D67" s="127"/>
      <c r="E67" s="127"/>
      <c r="F67" s="127"/>
      <c r="G67" s="127"/>
      <c r="H67" s="127"/>
      <c r="I67" s="127"/>
      <c r="J67" s="127"/>
      <c r="K67" s="127"/>
      <c r="L67" s="127"/>
      <c r="M67" s="127"/>
      <c r="N67" s="128"/>
    </row>
    <row r="68" spans="1:14" x14ac:dyDescent="0.2">
      <c r="A68" s="126"/>
      <c r="B68" s="127"/>
      <c r="C68" s="127"/>
      <c r="D68" s="127"/>
      <c r="E68" s="127"/>
      <c r="F68" s="127"/>
      <c r="G68" s="127"/>
      <c r="H68" s="127"/>
      <c r="I68" s="127"/>
      <c r="J68" s="127"/>
      <c r="K68" s="127"/>
      <c r="L68" s="127"/>
      <c r="M68" s="127"/>
      <c r="N68" s="128"/>
    </row>
    <row r="69" spans="1:14" x14ac:dyDescent="0.2">
      <c r="A69" s="126"/>
      <c r="B69" s="127"/>
      <c r="C69" s="127"/>
      <c r="D69" s="127"/>
      <c r="E69" s="127"/>
      <c r="F69" s="127"/>
      <c r="G69" s="127"/>
      <c r="H69" s="127"/>
      <c r="I69" s="127"/>
      <c r="J69" s="127"/>
      <c r="K69" s="127"/>
      <c r="L69" s="127"/>
      <c r="M69" s="127"/>
      <c r="N69" s="128"/>
    </row>
    <row r="70" spans="1:14" x14ac:dyDescent="0.2">
      <c r="A70" s="126"/>
      <c r="B70" s="127"/>
      <c r="C70" s="127"/>
      <c r="D70" s="127"/>
      <c r="E70" s="127"/>
      <c r="F70" s="127"/>
      <c r="G70" s="127"/>
      <c r="H70" s="127"/>
      <c r="I70" s="127"/>
      <c r="J70" s="127"/>
      <c r="K70" s="127"/>
      <c r="L70" s="127"/>
      <c r="M70" s="127"/>
      <c r="N70" s="128"/>
    </row>
    <row r="71" spans="1:14" x14ac:dyDescent="0.2">
      <c r="A71" s="126"/>
      <c r="B71" s="127"/>
      <c r="C71" s="127"/>
      <c r="D71" s="127"/>
      <c r="E71" s="127"/>
      <c r="F71" s="127"/>
      <c r="G71" s="127"/>
      <c r="H71" s="127"/>
      <c r="I71" s="127"/>
      <c r="J71" s="127"/>
      <c r="K71" s="127"/>
      <c r="L71" s="127"/>
      <c r="M71" s="127"/>
      <c r="N71" s="128"/>
    </row>
    <row r="72" spans="1:14" x14ac:dyDescent="0.2">
      <c r="A72" s="126"/>
      <c r="B72" s="127"/>
      <c r="C72" s="127"/>
      <c r="D72" s="127"/>
      <c r="E72" s="127"/>
      <c r="F72" s="127"/>
      <c r="G72" s="127"/>
      <c r="H72" s="127"/>
      <c r="I72" s="127"/>
      <c r="J72" s="127"/>
      <c r="K72" s="127"/>
      <c r="L72" s="127"/>
      <c r="M72" s="127"/>
      <c r="N72" s="128"/>
    </row>
    <row r="73" spans="1:14" x14ac:dyDescent="0.2">
      <c r="A73" s="126"/>
      <c r="B73" s="127"/>
      <c r="C73" s="127"/>
      <c r="D73" s="127"/>
      <c r="E73" s="127"/>
      <c r="F73" s="127"/>
      <c r="G73" s="127"/>
      <c r="H73" s="127"/>
      <c r="I73" s="127"/>
      <c r="J73" s="127"/>
      <c r="K73" s="127"/>
      <c r="L73" s="127"/>
      <c r="M73" s="127"/>
      <c r="N73" s="128"/>
    </row>
    <row r="74" spans="1:14" x14ac:dyDescent="0.2">
      <c r="A74" s="126"/>
      <c r="B74" s="127"/>
      <c r="C74" s="127"/>
      <c r="D74" s="127"/>
      <c r="E74" s="127"/>
      <c r="F74" s="127"/>
      <c r="G74" s="127"/>
      <c r="H74" s="127"/>
      <c r="I74" s="127"/>
      <c r="J74" s="127"/>
      <c r="K74" s="127"/>
      <c r="L74" s="127"/>
      <c r="M74" s="127"/>
      <c r="N74" s="128"/>
    </row>
    <row r="75" spans="1:14" x14ac:dyDescent="0.2">
      <c r="A75" s="126"/>
      <c r="B75" s="127"/>
      <c r="C75" s="127"/>
      <c r="D75" s="127"/>
      <c r="E75" s="127"/>
      <c r="F75" s="127"/>
      <c r="G75" s="127"/>
      <c r="H75" s="127"/>
      <c r="I75" s="127"/>
      <c r="J75" s="127"/>
      <c r="K75" s="127"/>
      <c r="L75" s="127"/>
      <c r="M75" s="127"/>
      <c r="N75" s="128"/>
    </row>
    <row r="76" spans="1:14" x14ac:dyDescent="0.2">
      <c r="A76" s="126"/>
      <c r="B76" s="127"/>
      <c r="C76" s="127"/>
      <c r="D76" s="127"/>
      <c r="E76" s="127"/>
      <c r="F76" s="127"/>
      <c r="G76" s="127"/>
      <c r="H76" s="127"/>
      <c r="I76" s="127"/>
      <c r="J76" s="127"/>
      <c r="K76" s="127"/>
      <c r="L76" s="127"/>
      <c r="M76" s="127"/>
      <c r="N76" s="128"/>
    </row>
    <row r="77" spans="1:14" ht="16" thickBot="1" x14ac:dyDescent="0.25">
      <c r="A77" s="129"/>
      <c r="B77" s="130"/>
      <c r="C77" s="130"/>
      <c r="D77" s="130"/>
      <c r="E77" s="130"/>
      <c r="F77" s="130"/>
      <c r="G77" s="130"/>
      <c r="H77" s="130"/>
      <c r="I77" s="130"/>
      <c r="J77" s="130"/>
      <c r="K77" s="130"/>
      <c r="L77" s="130"/>
      <c r="M77" s="130"/>
      <c r="N77" s="131"/>
    </row>
    <row r="78" spans="1:14" x14ac:dyDescent="0.2">
      <c r="A78" s="1"/>
      <c r="B78" s="1"/>
      <c r="C78" s="1"/>
      <c r="D78" s="1"/>
      <c r="E78" s="1"/>
      <c r="F78" s="1"/>
      <c r="G78" s="1"/>
      <c r="H78" s="1"/>
      <c r="I78" s="1"/>
      <c r="J78" s="1"/>
      <c r="K78" s="1"/>
      <c r="L78" s="1"/>
      <c r="M78" s="1"/>
      <c r="N78" s="1"/>
    </row>
  </sheetData>
  <sheetProtection formatCells="0" formatColumns="0" formatRows="0" insertColumns="0" insertRows="0" insertHyperlinks="0" deleteColumns="0" deleteRows="0" sort="0" autoFilter="0" pivotTables="0"/>
  <mergeCells count="127">
    <mergeCell ref="A56:N56"/>
    <mergeCell ref="A57:N77"/>
    <mergeCell ref="A55:C55"/>
    <mergeCell ref="D55:F55"/>
    <mergeCell ref="G55:H55"/>
    <mergeCell ref="I55:J55"/>
    <mergeCell ref="K55:L55"/>
    <mergeCell ref="M55:N55"/>
    <mergeCell ref="A52:C52"/>
    <mergeCell ref="J52:K52"/>
    <mergeCell ref="A53:N53"/>
    <mergeCell ref="A54:C54"/>
    <mergeCell ref="D54:F54"/>
    <mergeCell ref="G54:H54"/>
    <mergeCell ref="I54:J54"/>
    <mergeCell ref="K54:L54"/>
    <mergeCell ref="M54:N54"/>
    <mergeCell ref="A47:C47"/>
    <mergeCell ref="J47:K47"/>
    <mergeCell ref="A48:C48"/>
    <mergeCell ref="J48:K48"/>
    <mergeCell ref="A49:C49"/>
    <mergeCell ref="J49:K49"/>
    <mergeCell ref="A44:C44"/>
    <mergeCell ref="J44:K44"/>
    <mergeCell ref="A45:C45"/>
    <mergeCell ref="J45:K45"/>
    <mergeCell ref="A46:C46"/>
    <mergeCell ref="J46:K46"/>
    <mergeCell ref="A41:C41"/>
    <mergeCell ref="J41:K41"/>
    <mergeCell ref="A42:C42"/>
    <mergeCell ref="J42:K42"/>
    <mergeCell ref="A43:C43"/>
    <mergeCell ref="J43:K43"/>
    <mergeCell ref="A37:C37"/>
    <mergeCell ref="J37:K37"/>
    <mergeCell ref="A38:C38"/>
    <mergeCell ref="J38:K38"/>
    <mergeCell ref="A39:C39"/>
    <mergeCell ref="J39:K39"/>
    <mergeCell ref="A34:C34"/>
    <mergeCell ref="J34:K34"/>
    <mergeCell ref="A35:C35"/>
    <mergeCell ref="J35:K35"/>
    <mergeCell ref="A36:C36"/>
    <mergeCell ref="J36:K36"/>
    <mergeCell ref="A32:C33"/>
    <mergeCell ref="D32:F32"/>
    <mergeCell ref="G32:K32"/>
    <mergeCell ref="L32:L33"/>
    <mergeCell ref="M32:M33"/>
    <mergeCell ref="N32:N33"/>
    <mergeCell ref="J33:K33"/>
    <mergeCell ref="A18:N18"/>
    <mergeCell ref="A19:N19"/>
    <mergeCell ref="A20:N24"/>
    <mergeCell ref="A25:N25"/>
    <mergeCell ref="A26:N30"/>
    <mergeCell ref="A31:K31"/>
    <mergeCell ref="L31:N31"/>
    <mergeCell ref="A16:B16"/>
    <mergeCell ref="C16:D16"/>
    <mergeCell ref="E16:F16"/>
    <mergeCell ref="G16:I16"/>
    <mergeCell ref="J16:K16"/>
    <mergeCell ref="A17:N17"/>
    <mergeCell ref="A14:B14"/>
    <mergeCell ref="C14:D14"/>
    <mergeCell ref="E14:F14"/>
    <mergeCell ref="G14:I14"/>
    <mergeCell ref="J14:K14"/>
    <mergeCell ref="A15:B15"/>
    <mergeCell ref="C15:D15"/>
    <mergeCell ref="E15:F15"/>
    <mergeCell ref="G15:I15"/>
    <mergeCell ref="J15:K15"/>
    <mergeCell ref="A13:B13"/>
    <mergeCell ref="C13:D13"/>
    <mergeCell ref="E13:F13"/>
    <mergeCell ref="G13:I13"/>
    <mergeCell ref="J13:K13"/>
    <mergeCell ref="A11:B11"/>
    <mergeCell ref="C11:D11"/>
    <mergeCell ref="E11:F11"/>
    <mergeCell ref="G11:I11"/>
    <mergeCell ref="J11:K11"/>
    <mergeCell ref="F5:H5"/>
    <mergeCell ref="I5:K5"/>
    <mergeCell ref="L5:N5"/>
    <mergeCell ref="A10:N10"/>
    <mergeCell ref="L8:N8"/>
    <mergeCell ref="I9:K9"/>
    <mergeCell ref="L9:N9"/>
    <mergeCell ref="A12:B12"/>
    <mergeCell ref="C12:D12"/>
    <mergeCell ref="E12:F12"/>
    <mergeCell ref="G12:I12"/>
    <mergeCell ref="J12:K12"/>
    <mergeCell ref="A8:B9"/>
    <mergeCell ref="C8:E9"/>
    <mergeCell ref="F8:G9"/>
    <mergeCell ref="I8:K8"/>
    <mergeCell ref="A50:C50"/>
    <mergeCell ref="J50:K50"/>
    <mergeCell ref="A51:C51"/>
    <mergeCell ref="J51:K51"/>
    <mergeCell ref="A1:C3"/>
    <mergeCell ref="D1:K1"/>
    <mergeCell ref="M1:N1"/>
    <mergeCell ref="D2:K2"/>
    <mergeCell ref="L2:M2"/>
    <mergeCell ref="D3:K3"/>
    <mergeCell ref="L3:M3"/>
    <mergeCell ref="A40:C40"/>
    <mergeCell ref="J40:K40"/>
    <mergeCell ref="A6:B7"/>
    <mergeCell ref="C6:E7"/>
    <mergeCell ref="F6:G7"/>
    <mergeCell ref="I6:K6"/>
    <mergeCell ref="L6:N6"/>
    <mergeCell ref="I7:K7"/>
    <mergeCell ref="L7:N7"/>
    <mergeCell ref="A4:K4"/>
    <mergeCell ref="L4:N4"/>
    <mergeCell ref="A5:B5"/>
    <mergeCell ref="C5:E5"/>
  </mergeCells>
  <conditionalFormatting sqref="D34:K39 D40:J40 D41:K42 F43:K46 D43:E52 F47:J51 F52:K52 G55:H55">
    <cfRule type="notContainsBlanks" dxfId="3" priority="4">
      <formula>LEN(TRIM(D34))&gt;0</formula>
    </cfRule>
  </conditionalFormatting>
  <conditionalFormatting sqref="I8:K9">
    <cfRule type="notContainsBlanks" dxfId="2" priority="2">
      <formula>LEN(TRIM(I8))&gt;0</formula>
    </cfRule>
  </conditionalFormatting>
  <conditionalFormatting sqref="I5:N7">
    <cfRule type="notContainsBlanks" dxfId="1" priority="1">
      <formula>LEN(TRIM(I5))&gt;0</formula>
    </cfRule>
  </conditionalFormatting>
  <conditionalFormatting sqref="M1:N1 D2:K3 N2:N3 C6:E9 L9:N9 C11:D16 G11:I16 A18:N18 A20:N24 A26:N30">
    <cfRule type="notContainsBlanks" dxfId="0" priority="3">
      <formula>LEN(TRIM(A1))&gt;0</formula>
    </cfRule>
  </conditionalFormatting>
  <dataValidations count="3">
    <dataValidation allowBlank="1" showInputMessage="1" showErrorMessage="1" prompt="Well Name Here" sqref="D2:K2" xr:uid="{D6966602-9CCE-4305-9719-B3945E1C2679}"/>
    <dataValidation allowBlank="1" showInputMessage="1" showErrorMessage="1" prompt="UWI Here" sqref="D3:K3" xr:uid="{D41E678D-6B91-43CD-8699-9EFB2145E214}"/>
    <dataValidation allowBlank="1" showInputMessage="1" showErrorMessage="1" prompt="Insert any additional comments &amp; photos if necessary " sqref="A57:N77" xr:uid="{E0A0B625-50C7-400E-957D-56FCC9E7FC7F}"/>
  </dataValidations>
  <pageMargins left="0.7" right="0.7" top="0.75" bottom="0.75" header="0.3" footer="0.3"/>
  <pageSetup scale="5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Jan 18</vt:lpstr>
      <vt:lpstr>Jan 19</vt:lpstr>
      <vt:lpstr>Jan 20</vt:lpstr>
      <vt:lpstr>Jan 21</vt:lpstr>
      <vt:lpstr>Jan 22</vt:lpstr>
      <vt:lpstr>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Law</dc:creator>
  <cp:lastModifiedBy>Kurtis Ball</cp:lastModifiedBy>
  <cp:lastPrinted>2026-01-27T09:00:54Z</cp:lastPrinted>
  <dcterms:created xsi:type="dcterms:W3CDTF">2025-11-07T20:35:01Z</dcterms:created>
  <dcterms:modified xsi:type="dcterms:W3CDTF">2026-03-18T19:43:28Z</dcterms:modified>
</cp:coreProperties>
</file>